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pps\KLTN\DOCUMEMT\"/>
    </mc:Choice>
  </mc:AlternateContent>
  <xr:revisionPtr revIDLastSave="0" documentId="13_ncr:1_{82B21B85-8925-4850-A545-95A773D42492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rpint 1" sheetId="1" r:id="rId1"/>
    <sheet name="Sprint 2" sheetId="2" r:id="rId2"/>
    <sheet name="Sprint 3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3" l="1"/>
  <c r="G31" i="3"/>
  <c r="G22" i="3"/>
  <c r="G44" i="3"/>
  <c r="C4" i="3" l="1"/>
  <c r="C3" i="3"/>
  <c r="C4" i="2"/>
  <c r="C3" i="2"/>
  <c r="C4" i="1"/>
  <c r="C3" i="1"/>
  <c r="E12" i="3" l="1"/>
  <c r="K6" i="4" s="1"/>
  <c r="E11" i="3"/>
  <c r="I6" i="4" s="1"/>
  <c r="E10" i="3"/>
  <c r="G6" i="4" s="1"/>
  <c r="E9" i="3"/>
  <c r="E6" i="4" s="1"/>
  <c r="E8" i="3"/>
  <c r="C6" i="4" s="1"/>
  <c r="E12" i="2"/>
  <c r="K5" i="4" s="1"/>
  <c r="E11" i="2"/>
  <c r="I5" i="4" s="1"/>
  <c r="E10" i="2"/>
  <c r="G5" i="4" s="1"/>
  <c r="E9" i="2"/>
  <c r="E5" i="4" s="1"/>
  <c r="E8" i="2"/>
  <c r="C5" i="4" s="1"/>
  <c r="G47" i="3" l="1"/>
  <c r="G60" i="3"/>
  <c r="G58" i="3"/>
  <c r="G91" i="3"/>
  <c r="G94" i="3"/>
  <c r="D8" i="3" s="1"/>
  <c r="B6" i="4" s="1"/>
  <c r="G55" i="3"/>
  <c r="G29" i="3"/>
  <c r="G41" i="3"/>
  <c r="I99" i="3"/>
  <c r="G16" i="3"/>
  <c r="D12" i="3" l="1"/>
  <c r="J6" i="4" s="1"/>
  <c r="D11" i="3"/>
  <c r="H6" i="4" s="1"/>
  <c r="G34" i="2"/>
  <c r="G32" i="2"/>
  <c r="G21" i="2"/>
  <c r="G19" i="2"/>
  <c r="P108" i="2"/>
  <c r="J108" i="2"/>
  <c r="K108" i="2"/>
  <c r="L108" i="2"/>
  <c r="M108" i="2"/>
  <c r="N108" i="2"/>
  <c r="O108" i="2"/>
  <c r="Q108" i="2"/>
  <c r="R108" i="2"/>
  <c r="S108" i="2"/>
  <c r="T108" i="2"/>
  <c r="U108" i="2"/>
  <c r="V108" i="2"/>
  <c r="W108" i="2"/>
  <c r="I108" i="2"/>
  <c r="G109" i="2"/>
  <c r="G105" i="2"/>
  <c r="G93" i="2"/>
  <c r="G91" i="2"/>
  <c r="G68" i="2"/>
  <c r="G64" i="2"/>
  <c r="G58" i="2"/>
  <c r="G54" i="2"/>
  <c r="G45" i="2"/>
  <c r="E8" i="1"/>
  <c r="C4" i="4" s="1"/>
  <c r="C7" i="4" s="1"/>
  <c r="F12" i="4" s="1"/>
  <c r="E9" i="1"/>
  <c r="E4" i="4" s="1"/>
  <c r="E7" i="4" s="1"/>
  <c r="E10" i="1"/>
  <c r="G4" i="4" s="1"/>
  <c r="G7" i="4" s="1"/>
  <c r="E11" i="1"/>
  <c r="I4" i="4" s="1"/>
  <c r="I7" i="4" s="1"/>
  <c r="E12" i="1"/>
  <c r="K4" i="4" s="1"/>
  <c r="K7" i="4" s="1"/>
  <c r="G104" i="1"/>
  <c r="W105" i="1"/>
  <c r="G106" i="1"/>
  <c r="I106" i="1" s="1"/>
  <c r="J106" i="1" s="1"/>
  <c r="K106" i="1" s="1"/>
  <c r="L106" i="1" s="1"/>
  <c r="M106" i="1" s="1"/>
  <c r="N106" i="1" s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I105" i="1"/>
  <c r="G58" i="1"/>
  <c r="G102" i="1"/>
  <c r="G76" i="1"/>
  <c r="G31" i="1"/>
  <c r="G23" i="1"/>
  <c r="I109" i="2" l="1"/>
  <c r="J109" i="2" s="1"/>
  <c r="K109" i="2" s="1"/>
  <c r="L109" i="2" s="1"/>
  <c r="M109" i="2" s="1"/>
  <c r="N109" i="2" s="1"/>
  <c r="O109" i="2" s="1"/>
  <c r="O106" i="1"/>
  <c r="P106" i="1" s="1"/>
  <c r="Q106" i="1" s="1"/>
  <c r="R106" i="1" s="1"/>
  <c r="S106" i="1" s="1"/>
  <c r="T106" i="1" s="1"/>
  <c r="U106" i="1" s="1"/>
  <c r="V106" i="1" s="1"/>
  <c r="W106" i="1" s="1"/>
  <c r="P109" i="2" l="1"/>
  <c r="Q109" i="2" s="1"/>
  <c r="R109" i="2" s="1"/>
  <c r="S109" i="2" s="1"/>
  <c r="T109" i="2" s="1"/>
  <c r="U109" i="2" s="1"/>
  <c r="V109" i="2" s="1"/>
  <c r="W109" i="2" s="1"/>
  <c r="G64" i="1"/>
  <c r="G52" i="1"/>
  <c r="G70" i="1"/>
  <c r="G46" i="1"/>
  <c r="G34" i="1"/>
  <c r="G35" i="1"/>
  <c r="G36" i="1"/>
  <c r="G37" i="1"/>
  <c r="G38" i="1"/>
  <c r="G39" i="1"/>
  <c r="G40" i="1"/>
  <c r="G41" i="1"/>
  <c r="G42" i="1"/>
  <c r="G33" i="1"/>
  <c r="G43" i="1"/>
  <c r="G29" i="1"/>
  <c r="G20" i="1"/>
  <c r="G21" i="1"/>
  <c r="G22" i="1"/>
  <c r="G25" i="1"/>
  <c r="G26" i="1"/>
  <c r="G27" i="1"/>
  <c r="G28" i="1"/>
  <c r="G19" i="1"/>
  <c r="G100" i="3"/>
  <c r="I100" i="3" s="1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G18" i="3"/>
  <c r="E13" i="3"/>
  <c r="D9" i="3" l="1"/>
  <c r="D10" i="3"/>
  <c r="F6" i="4" s="1"/>
  <c r="G99" i="3"/>
  <c r="J100" i="3"/>
  <c r="K100" i="3" s="1"/>
  <c r="L100" i="3" s="1"/>
  <c r="M100" i="3" s="1"/>
  <c r="N100" i="3" s="1"/>
  <c r="O100" i="3" s="1"/>
  <c r="P100" i="3" s="1"/>
  <c r="Q100" i="3" s="1"/>
  <c r="R100" i="3" s="1"/>
  <c r="S100" i="3" s="1"/>
  <c r="T100" i="3" s="1"/>
  <c r="U100" i="3" s="1"/>
  <c r="V100" i="3" s="1"/>
  <c r="W100" i="3" s="1"/>
  <c r="G18" i="2"/>
  <c r="G16" i="2"/>
  <c r="E13" i="2"/>
  <c r="D12" i="2" l="1"/>
  <c r="J5" i="4" s="1"/>
  <c r="D8" i="2"/>
  <c r="D9" i="2"/>
  <c r="D5" i="4" s="1"/>
  <c r="D11" i="2"/>
  <c r="H5" i="4" s="1"/>
  <c r="D10" i="2"/>
  <c r="F5" i="4" s="1"/>
  <c r="G108" i="2"/>
  <c r="D6" i="4"/>
  <c r="D13" i="3"/>
  <c r="G18" i="1"/>
  <c r="G16" i="1"/>
  <c r="G105" i="1" l="1"/>
  <c r="D12" i="1"/>
  <c r="J4" i="4" s="1"/>
  <c r="J7" i="4" s="1"/>
  <c r="D11" i="1"/>
  <c r="H4" i="4" s="1"/>
  <c r="H7" i="4" s="1"/>
  <c r="D8" i="1"/>
  <c r="D9" i="1"/>
  <c r="D4" i="4" s="1"/>
  <c r="D7" i="4" s="1"/>
  <c r="D10" i="1"/>
  <c r="F4" i="4" s="1"/>
  <c r="F7" i="4" s="1"/>
  <c r="B5" i="4"/>
  <c r="D13" i="2"/>
  <c r="E13" i="1"/>
  <c r="B4" i="4" l="1"/>
  <c r="B7" i="4" s="1"/>
  <c r="D13" i="1"/>
  <c r="F11" i="4"/>
</calcChain>
</file>

<file path=xl/sharedStrings.xml><?xml version="1.0" encoding="utf-8"?>
<sst xmlns="http://schemas.openxmlformats.org/spreadsheetml/2006/main" count="588" uniqueCount="147">
  <si>
    <t>Project name: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</si>
  <si>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</si>
  <si>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</si>
  <si>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</si>
  <si>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</si>
  <si>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</si>
  <si>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</si>
  <si>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</si>
  <si>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</si>
  <si>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</si>
  <si>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</si>
  <si>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</si>
  <si>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</si>
  <si>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</si>
  <si>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</si>
  <si>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</si>
  <si>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</si>
  <si>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</si>
  <si>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</si>
  <si>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</si>
  <si>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</si>
  <si>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Tạo tài liệu kiểm thử cho Sprint</t>
  </si>
  <si>
    <t>User interface design</t>
  </si>
  <si>
    <t>Design test case</t>
  </si>
  <si>
    <t>Coding</t>
  </si>
  <si>
    <t>Testing</t>
  </si>
  <si>
    <t>Fix Bug</t>
  </si>
  <si>
    <t>Re-testing</t>
  </si>
  <si>
    <t>Release Sprint 1</t>
  </si>
  <si>
    <t>Sprint 1 review meeting</t>
  </si>
  <si>
    <t>Sprint 1 retrospective</t>
  </si>
  <si>
    <t>Đăng ký</t>
  </si>
  <si>
    <t>Đăng nhập / Đăng xuất</t>
  </si>
  <si>
    <t>Quản lý thông tin cá nhân</t>
  </si>
  <si>
    <t>Quản lý phân quyền</t>
  </si>
  <si>
    <t>Thêm thành viên vào nhóm gia đình</t>
  </si>
  <si>
    <t>Xóa thành viên khỏi nhóm gia đình</t>
  </si>
  <si>
    <t>Thêm khoản thu</t>
  </si>
  <si>
    <t>Xem danh sách khoản thu</t>
  </si>
  <si>
    <t>Xem chi tiết khoản thu</t>
  </si>
  <si>
    <t>Nguyên</t>
  </si>
  <si>
    <t>Nhã</t>
  </si>
  <si>
    <t>Tiên</t>
  </si>
  <si>
    <t>Vũ</t>
  </si>
  <si>
    <t>Đức</t>
  </si>
  <si>
    <t>Front-End Đăng ký</t>
  </si>
  <si>
    <t>Front-End Đăng nhập / Đăng xuất</t>
  </si>
  <si>
    <t>Front-End Quản lý thông tin cá nhân</t>
  </si>
  <si>
    <t>Front-End Quản lý phân quyền</t>
  </si>
  <si>
    <t>Front-End Thêm thành viên vào nhóm gia đình</t>
  </si>
  <si>
    <t>Front-End Xóa thành viên khỏi nhóm gia đình</t>
  </si>
  <si>
    <t>Front-End Thêm khoản thu</t>
  </si>
  <si>
    <t>Front-End Xem danh sách khoản thu</t>
  </si>
  <si>
    <t>Front-End Xem chi tiết khoản thu</t>
  </si>
  <si>
    <t>Back-End Đăng ký</t>
  </si>
  <si>
    <t>Back-End Đăng nhập / Đăng xuất</t>
  </si>
  <si>
    <t>Back-End Quản lý thông tin cá nhân</t>
  </si>
  <si>
    <t>Back-End Quản lý phân quyền</t>
  </si>
  <si>
    <t>Back-End Thêm thành viên vào nhóm gia đình</t>
  </si>
  <si>
    <t>Back-End Xóa thành viên khỏi nhóm gia đình</t>
  </si>
  <si>
    <t>Back-End Thêm khoản thu</t>
  </si>
  <si>
    <t>Back-End Xem danh sách khoản thu</t>
  </si>
  <si>
    <t>Back-End Xem chi tiết khoản thu</t>
  </si>
  <si>
    <t>Review all user interfaces of sprint 1</t>
  </si>
  <si>
    <t>Review all test case of sprint 1</t>
  </si>
  <si>
    <t>Sprint 2</t>
  </si>
  <si>
    <t>Sửa khoản thu</t>
  </si>
  <si>
    <t>Xóa khoản thu</t>
  </si>
  <si>
    <t>Thêm khoản chi</t>
  </si>
  <si>
    <t>Xem danh sách khoản chi</t>
  </si>
  <si>
    <t>Xem chi tiết khoản chi</t>
  </si>
  <si>
    <t>Sửa khoản chi</t>
  </si>
  <si>
    <t>Xóa khoản chi</t>
  </si>
  <si>
    <t>Gắn thẻ (tag) cho khoản chi</t>
  </si>
  <si>
    <t>Front-End Sửa khoản thu</t>
  </si>
  <si>
    <t>Front-End Xóa khoản thu</t>
  </si>
  <si>
    <t>Front-End Thêm khoản chi</t>
  </si>
  <si>
    <t>Front-End Xem danh sách khoản chi</t>
  </si>
  <si>
    <t>Front-End Xem chi tiết khoản chi</t>
  </si>
  <si>
    <t>Front-End Sửa khoản chi</t>
  </si>
  <si>
    <t>Front-End Xóa khoản chi</t>
  </si>
  <si>
    <t>Front-End Gắn thẻ (tag) cho khoản chi</t>
  </si>
  <si>
    <t>Back-End Sửa khoản thu</t>
  </si>
  <si>
    <t>Back-End Xóa khoản thu</t>
  </si>
  <si>
    <t>Back-End Thêm khoản chi</t>
  </si>
  <si>
    <t>Back-End Xem danh sách khoản chi</t>
  </si>
  <si>
    <t>Back-End Xem chi tiết khoản chi</t>
  </si>
  <si>
    <t>Back-End Sửa khoản chi</t>
  </si>
  <si>
    <t>Back-End Xóa khoản chi</t>
  </si>
  <si>
    <t>Back-End Gắn thẻ (tag) cho khoản chi</t>
  </si>
  <si>
    <t>Sprint 2 review meeting</t>
  </si>
  <si>
    <t>Sprint 2 retrospective</t>
  </si>
  <si>
    <t>Tạo Sprint Backlog 2</t>
  </si>
  <si>
    <t>Integrate Code</t>
  </si>
  <si>
    <t>Review all test case of sprint 2</t>
  </si>
  <si>
    <t>Review all user interfaces of sprint 2</t>
  </si>
  <si>
    <t>Nguyên, Nhã</t>
  </si>
  <si>
    <t>Tiên, Vũ</t>
  </si>
  <si>
    <t>Sprint 3</t>
  </si>
  <si>
    <t>Tạo Sprint Backlog 3</t>
  </si>
  <si>
    <t>Sprint 3 review meeting</t>
  </si>
  <si>
    <t>Sprint 3 retrospective</t>
  </si>
  <si>
    <t>Báo cáo &amp; Thống kê</t>
  </si>
  <si>
    <t>Cảnh báo tài chính</t>
  </si>
  <si>
    <t>Quản lý ngân sách</t>
  </si>
  <si>
    <t>Quản lý kế hoạch tài chính</t>
  </si>
  <si>
    <t>Thông báo &amp; nhắc nhở</t>
  </si>
  <si>
    <t>Tìm kiếm &amp; lọc dữ liệu</t>
  </si>
  <si>
    <t>Quản lý tài khoản người dùng (Admin)</t>
  </si>
  <si>
    <t>Quản lý danh mục (Admin)</t>
  </si>
  <si>
    <t>Review all user interfaces of sprint 3</t>
  </si>
  <si>
    <t>Review all test case of sprint 3</t>
  </si>
  <si>
    <t>Front-End Báo cáo &amp; Thống kê</t>
  </si>
  <si>
    <t>Front-End Cảnh báo tài chính</t>
  </si>
  <si>
    <t>Front-End Quản lý ngân sách</t>
  </si>
  <si>
    <t>Front-End Quản lý kế hoạch tài chính</t>
  </si>
  <si>
    <t>Front-End Thông báo &amp; nhắc nhở</t>
  </si>
  <si>
    <t>Front-End Tìm kiếm &amp; lọc dữ liệu</t>
  </si>
  <si>
    <t>Front-End Quản lý tài khoản người dùng (Admin)</t>
  </si>
  <si>
    <t>Front-End Quản lý danh mục (Admin)</t>
  </si>
  <si>
    <t>Back-End Báo cáo &amp; Thống kê</t>
  </si>
  <si>
    <t>Back-End Cảnh báo tài chính</t>
  </si>
  <si>
    <t>Back-End Quản lý ngân sách</t>
  </si>
  <si>
    <t>Back-End Quản lý kế hoạch tài chính</t>
  </si>
  <si>
    <t>Back-End Thông báo &amp; nhắc nhở</t>
  </si>
  <si>
    <t>Back-End Tìm kiếm &amp; lọc dữ liệu</t>
  </si>
  <si>
    <t>Back-End Quản lý tài khoản người dùng (Admin)</t>
  </si>
  <si>
    <t>Back-End Quản lý danh mục (Admin)</t>
  </si>
  <si>
    <t>Release Sprint 3</t>
  </si>
  <si>
    <t>Release Sprint 2</t>
  </si>
  <si>
    <t>SPRINT BACKLOG REPORT</t>
  </si>
  <si>
    <t>FINAL TOTAL</t>
  </si>
  <si>
    <t>Xây dựng hệ thống quản lý tài chính gia đình</t>
  </si>
  <si>
    <t>Nhập thu chi bằng giọng nói (AI)</t>
  </si>
  <si>
    <t>Front-End Nhập thu chi bằng giọng nói (AI)</t>
  </si>
  <si>
    <t>Back-End Nhập thu chi bằng giọng nói (AI)</t>
  </si>
  <si>
    <t>Phân tích tài chính (AI)</t>
  </si>
  <si>
    <t>Front-End Phân tích tài chính (AI)</t>
  </si>
  <si>
    <t>Back-End Phân tích tài chính (AI)</t>
  </si>
  <si>
    <t>Tạo phòng và gia nhập phòng</t>
  </si>
  <si>
    <t>Front-End Tạo phòng và gia nhập phòng</t>
  </si>
  <si>
    <t>Back-End Tạo phòng và gia nhập phòng</t>
  </si>
  <si>
    <t>Phân loại thu chi</t>
  </si>
  <si>
    <t>Front-End Phân loại thu chi</t>
  </si>
  <si>
    <t>Back-End Phân loại thu chi</t>
  </si>
  <si>
    <t>SPRINT 3 REPORT</t>
  </si>
  <si>
    <t>SPRINT 2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</si>
</sst>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1" fillId="5" borderId="7" xfId="0" applyFont="1" applyFill="1" applyBorder="1"/>
    <xf numFmtId="0" fontId="1" fillId="0" borderId="7" xfId="0" applyFont="1" applyBorder="1" applyAlignment="1">
      <alignment textRotation="90" wrapText="1"/>
    </xf>
    <xf numFmtId="164" fontId="1" fillId="0" borderId="7" xfId="0" applyNumberFormat="1" applyFont="1" applyBorder="1" applyAlignment="1">
      <alignment textRotation="90" wrapText="1"/>
    </xf>
    <xf numFmtId="0" fontId="2" fillId="0" borderId="7" xfId="0" applyFont="1" applyBorder="1"/>
    <xf numFmtId="0" fontId="2" fillId="2" borderId="7" xfId="0" applyFont="1" applyFill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7" borderId="7" xfId="0" applyFont="1" applyFill="1" applyBorder="1"/>
    <xf numFmtId="0" fontId="2" fillId="3" borderId="7" xfId="0" applyFont="1" applyFill="1" applyBorder="1"/>
    <xf numFmtId="0" fontId="2" fillId="0" borderId="7" xfId="0" applyFont="1" applyBorder="1" applyAlignment="1">
      <alignment horizontal="center"/>
    </xf>
    <xf numFmtId="0" fontId="2" fillId="8" borderId="7" xfId="0" applyFont="1" applyFill="1" applyBorder="1"/>
    <xf numFmtId="0" fontId="1" fillId="6" borderId="7" xfId="0" applyFont="1" applyFill="1" applyBorder="1" applyAlignment="1">
      <alignment horizontal="center"/>
    </xf>
    <xf numFmtId="0" fontId="1" fillId="0" borderId="7" xfId="0" applyFont="1" applyBorder="1" applyAlignment="1">
      <alignment wrapText="1"/>
    </xf>
    <xf numFmtId="14" fontId="3" fillId="0" borderId="7" xfId="0" applyNumberFormat="1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2" fillId="4" borderId="7" xfId="0" applyFont="1" applyFill="1" applyBorder="1"/>
    <xf numFmtId="0" fontId="1" fillId="9" borderId="7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1" fillId="10" borderId="5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center" vertical="center"/>
    </xf>
    <xf numFmtId="0" fontId="2" fillId="10" borderId="3" xfId="0" applyFont="1" applyFill="1" applyBorder="1"/>
    <xf numFmtId="0" fontId="2" fillId="0" borderId="4" xfId="0" applyFont="1" applyBorder="1"/>
    <xf numFmtId="0" fontId="2" fillId="10" borderId="5" xfId="0" applyFont="1" applyFill="1" applyBorder="1"/>
    <xf numFmtId="0" fontId="2" fillId="0" borderId="6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baseline="0"/>
              <a:t>SPRINT 1 BURN 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'Srpint 1'!$I$15:$W$15</c:f>
              <c:numCache>
                <c:formatCode>dd/mm</c:formatCode>
                <c:ptCount val="15"/>
                <c:pt idx="0">
                  <c:v>46102</c:v>
                </c:pt>
                <c:pt idx="1">
                  <c:v>46103</c:v>
                </c:pt>
                <c:pt idx="2">
                  <c:v>46104</c:v>
                </c:pt>
                <c:pt idx="3">
                  <c:v>46105</c:v>
                </c:pt>
                <c:pt idx="4">
                  <c:v>46106</c:v>
                </c:pt>
                <c:pt idx="5">
                  <c:v>46107</c:v>
                </c:pt>
                <c:pt idx="6">
                  <c:v>46108</c:v>
                </c:pt>
                <c:pt idx="7">
                  <c:v>46109</c:v>
                </c:pt>
                <c:pt idx="8">
                  <c:v>46110</c:v>
                </c:pt>
                <c:pt idx="9">
                  <c:v>46111</c:v>
                </c:pt>
                <c:pt idx="10">
                  <c:v>46112</c:v>
                </c:pt>
                <c:pt idx="11">
                  <c:v>46113</c:v>
                </c:pt>
                <c:pt idx="12">
                  <c:v>46114</c:v>
                </c:pt>
                <c:pt idx="13">
                  <c:v>46115</c:v>
                </c:pt>
                <c:pt idx="14">
                  <c:v>46116</c:v>
                </c:pt>
              </c:numCache>
            </c:numRef>
          </c:cat>
          <c:val>
            <c:numRef>
              <c:f>'Srpint 1'!$I$105:$W$105</c:f>
              <c:numCache>
                <c:formatCode>General</c:formatCode>
                <c:ptCount val="15"/>
                <c:pt idx="0">
                  <c:v>222</c:v>
                </c:pt>
                <c:pt idx="1">
                  <c:v>214</c:v>
                </c:pt>
                <c:pt idx="2">
                  <c:v>177</c:v>
                </c:pt>
                <c:pt idx="3">
                  <c:v>149</c:v>
                </c:pt>
                <c:pt idx="4">
                  <c:v>143</c:v>
                </c:pt>
                <c:pt idx="5">
                  <c:v>131</c:v>
                </c:pt>
                <c:pt idx="6">
                  <c:v>130</c:v>
                </c:pt>
                <c:pt idx="7">
                  <c:v>111</c:v>
                </c:pt>
                <c:pt idx="8">
                  <c:v>110</c:v>
                </c:pt>
                <c:pt idx="9">
                  <c:v>81</c:v>
                </c:pt>
                <c:pt idx="10">
                  <c:v>58</c:v>
                </c:pt>
                <c:pt idx="11">
                  <c:v>40</c:v>
                </c:pt>
                <c:pt idx="12">
                  <c:v>20</c:v>
                </c:pt>
                <c:pt idx="13">
                  <c:v>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29-4877-BC61-C8F1619EB174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'Srpint 1'!$I$15:$W$15</c:f>
              <c:numCache>
                <c:formatCode>dd/mm</c:formatCode>
                <c:ptCount val="15"/>
                <c:pt idx="0">
                  <c:v>46102</c:v>
                </c:pt>
                <c:pt idx="1">
                  <c:v>46103</c:v>
                </c:pt>
                <c:pt idx="2">
                  <c:v>46104</c:v>
                </c:pt>
                <c:pt idx="3">
                  <c:v>46105</c:v>
                </c:pt>
                <c:pt idx="4">
                  <c:v>46106</c:v>
                </c:pt>
                <c:pt idx="5">
                  <c:v>46107</c:v>
                </c:pt>
                <c:pt idx="6">
                  <c:v>46108</c:v>
                </c:pt>
                <c:pt idx="7">
                  <c:v>46109</c:v>
                </c:pt>
                <c:pt idx="8">
                  <c:v>46110</c:v>
                </c:pt>
                <c:pt idx="9">
                  <c:v>46111</c:v>
                </c:pt>
                <c:pt idx="10">
                  <c:v>46112</c:v>
                </c:pt>
                <c:pt idx="11">
                  <c:v>46113</c:v>
                </c:pt>
                <c:pt idx="12">
                  <c:v>46114</c:v>
                </c:pt>
                <c:pt idx="13">
                  <c:v>46115</c:v>
                </c:pt>
                <c:pt idx="14">
                  <c:v>46116</c:v>
                </c:pt>
              </c:numCache>
            </c:numRef>
          </c:cat>
          <c:val>
            <c:numRef>
              <c:f>'Srpint 1'!$I$106:$W$106</c:f>
              <c:numCache>
                <c:formatCode>General</c:formatCode>
                <c:ptCount val="15"/>
                <c:pt idx="0">
                  <c:v>218</c:v>
                </c:pt>
                <c:pt idx="1">
                  <c:v>210</c:v>
                </c:pt>
                <c:pt idx="2">
                  <c:v>180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130</c:v>
                </c:pt>
                <c:pt idx="7">
                  <c:v>110</c:v>
                </c:pt>
                <c:pt idx="8">
                  <c:v>110</c:v>
                </c:pt>
                <c:pt idx="9">
                  <c:v>80</c:v>
                </c:pt>
                <c:pt idx="10">
                  <c:v>60</c:v>
                </c:pt>
                <c:pt idx="11">
                  <c:v>40</c:v>
                </c:pt>
                <c:pt idx="12">
                  <c:v>20</c:v>
                </c:pt>
                <c:pt idx="13">
                  <c:v>10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9-4877-BC61-C8F1619EB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519952"/>
        <c:axId val="297514960"/>
      </c:lineChart>
      <c:dateAx>
        <c:axId val="29751995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14960"/>
        <c:crosses val="autoZero"/>
        <c:auto val="1"/>
        <c:lblOffset val="100"/>
        <c:baseTimeUnit val="days"/>
      </c:dateAx>
      <c:valAx>
        <c:axId val="2975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1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baseline="0"/>
              <a:t>SPRINT 2 BURN 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2'!$I$15:$W$15</c:f>
              <c:numCache>
                <c:formatCode>dd/mm</c:formatCode>
                <c:ptCount val="15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</c:numCache>
            </c:numRef>
          </c:cat>
          <c:val>
            <c:numRef>
              <c:f>'Sprint 2'!$I$108:$W$108</c:f>
              <c:numCache>
                <c:formatCode>General</c:formatCode>
                <c:ptCount val="15"/>
                <c:pt idx="0">
                  <c:v>218</c:v>
                </c:pt>
                <c:pt idx="1">
                  <c:v>210</c:v>
                </c:pt>
                <c:pt idx="2">
                  <c:v>178</c:v>
                </c:pt>
                <c:pt idx="3">
                  <c:v>148</c:v>
                </c:pt>
                <c:pt idx="4">
                  <c:v>141</c:v>
                </c:pt>
                <c:pt idx="5">
                  <c:v>130</c:v>
                </c:pt>
                <c:pt idx="6">
                  <c:v>130</c:v>
                </c:pt>
                <c:pt idx="7">
                  <c:v>111</c:v>
                </c:pt>
                <c:pt idx="8">
                  <c:v>110</c:v>
                </c:pt>
                <c:pt idx="9">
                  <c:v>81</c:v>
                </c:pt>
                <c:pt idx="10">
                  <c:v>60</c:v>
                </c:pt>
                <c:pt idx="11">
                  <c:v>38</c:v>
                </c:pt>
                <c:pt idx="12">
                  <c:v>20</c:v>
                </c:pt>
                <c:pt idx="13">
                  <c:v>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6-4FB0-9BE5-53AEE423F812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2'!$I$15:$W$15</c:f>
              <c:numCache>
                <c:formatCode>dd/mm</c:formatCode>
                <c:ptCount val="15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</c:numCache>
            </c:numRef>
          </c:cat>
          <c:val>
            <c:numRef>
              <c:f>'Sprint 2'!$I$109:$W$109</c:f>
              <c:numCache>
                <c:formatCode>General</c:formatCode>
                <c:ptCount val="15"/>
                <c:pt idx="0">
                  <c:v>218</c:v>
                </c:pt>
                <c:pt idx="1">
                  <c:v>210</c:v>
                </c:pt>
                <c:pt idx="2">
                  <c:v>180</c:v>
                </c:pt>
                <c:pt idx="3">
                  <c:v>150</c:v>
                </c:pt>
                <c:pt idx="4">
                  <c:v>140</c:v>
                </c:pt>
                <c:pt idx="5">
                  <c:v>130</c:v>
                </c:pt>
                <c:pt idx="6">
                  <c:v>130</c:v>
                </c:pt>
                <c:pt idx="7">
                  <c:v>110</c:v>
                </c:pt>
                <c:pt idx="8">
                  <c:v>110</c:v>
                </c:pt>
                <c:pt idx="9">
                  <c:v>80</c:v>
                </c:pt>
                <c:pt idx="10">
                  <c:v>60</c:v>
                </c:pt>
                <c:pt idx="11">
                  <c:v>40</c:v>
                </c:pt>
                <c:pt idx="12">
                  <c:v>20</c:v>
                </c:pt>
                <c:pt idx="13">
                  <c:v>10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6-4FB0-9BE5-53AEE423F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344688"/>
        <c:axId val="476332624"/>
      </c:lineChart>
      <c:dateAx>
        <c:axId val="476344688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32624"/>
        <c:crosses val="autoZero"/>
        <c:auto val="1"/>
        <c:lblOffset val="100"/>
        <c:baseTimeUnit val="days"/>
      </c:dateAx>
      <c:valAx>
        <c:axId val="4763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baseline="0"/>
              <a:t>SPRINT 3 BURN 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3'!$I$15:$W$15</c:f>
              <c:numCache>
                <c:formatCode>dd/mm</c:formatCode>
                <c:ptCount val="15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</c:numCache>
            </c:numRef>
          </c:cat>
          <c:val>
            <c:numRef>
              <c:f>'Sprint 3'!$I$99:$W$99</c:f>
              <c:numCache>
                <c:formatCode>General</c:formatCode>
                <c:ptCount val="15"/>
                <c:pt idx="0">
                  <c:v>228</c:v>
                </c:pt>
                <c:pt idx="1">
                  <c:v>220</c:v>
                </c:pt>
                <c:pt idx="2">
                  <c:v>188</c:v>
                </c:pt>
                <c:pt idx="3">
                  <c:v>158</c:v>
                </c:pt>
                <c:pt idx="4">
                  <c:v>164</c:v>
                </c:pt>
                <c:pt idx="5">
                  <c:v>130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80</c:v>
                </c:pt>
                <c:pt idx="10">
                  <c:v>55</c:v>
                </c:pt>
                <c:pt idx="11">
                  <c:v>38</c:v>
                </c:pt>
                <c:pt idx="12">
                  <c:v>18</c:v>
                </c:pt>
                <c:pt idx="13">
                  <c:v>10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B-41C0-8386-F035550B10D8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3'!$I$15:$W$15</c:f>
              <c:numCache>
                <c:formatCode>dd/mm</c:formatCode>
                <c:ptCount val="15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</c:numCache>
            </c:numRef>
          </c:cat>
          <c:val>
            <c:numRef>
              <c:f>'Sprint 3'!$I$100:$W$100</c:f>
              <c:numCache>
                <c:formatCode>General</c:formatCode>
                <c:ptCount val="15"/>
                <c:pt idx="0">
                  <c:v>228</c:v>
                </c:pt>
                <c:pt idx="1">
                  <c:v>220</c:v>
                </c:pt>
                <c:pt idx="2">
                  <c:v>192</c:v>
                </c:pt>
                <c:pt idx="3">
                  <c:v>164</c:v>
                </c:pt>
                <c:pt idx="4">
                  <c:v>164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74</c:v>
                </c:pt>
                <c:pt idx="10">
                  <c:v>56</c:v>
                </c:pt>
                <c:pt idx="11">
                  <c:v>38</c:v>
                </c:pt>
                <c:pt idx="12">
                  <c:v>20</c:v>
                </c:pt>
                <c:pt idx="13">
                  <c:v>10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B-41C0-8386-F035550B1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883055"/>
        <c:axId val="1688882223"/>
      </c:lineChart>
      <c:dateAx>
        <c:axId val="1688883055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82223"/>
        <c:crosses val="autoZero"/>
        <c:auto val="1"/>
        <c:lblOffset val="100"/>
        <c:baseTimeUnit val="days"/>
      </c:dateAx>
      <c:valAx>
        <c:axId val="16888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8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1835728</xdr:colOff>
      <xdr:row>108</xdr:row>
      <xdr:rowOff>13854</xdr:rowOff>
    </xdr:from>
    <xdr:to>
      <xdr:col>19</xdr:col>
      <xdr:colOff>536863</xdr:colOff>
      <xdr:row>142</xdr:row>
      <xdr:rowOff>34635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779318</xdr:colOff>
      <xdr:row>111</xdr:row>
      <xdr:rowOff>13855</xdr:rowOff>
    </xdr:from>
    <xdr:to>
      <xdr:col>22</xdr:col>
      <xdr:colOff>51955</xdr:colOff>
      <xdr:row>145</xdr:row>
      <xdr:rowOff>51955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536864</xdr:colOff>
      <xdr:row>102</xdr:row>
      <xdr:rowOff>13854</xdr:rowOff>
    </xdr:from>
    <xdr:to>
      <xdr:col>22</xdr:col>
      <xdr:colOff>571500</xdr:colOff>
      <xdr:row>134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zoomScale="55" zoomScaleNormal="55" workbookViewId="0">
      <selection activeCell="E81" sqref="E81:F81"/>
    </sheetView>
  </sheetViews>
  <sheetFormatPr defaultRowHeight="15" x14ac:dyDescent="0.25"/>
  <cols>
    <col min="2" max="2" width="16.140625" customWidth="1"/>
    <col min="3" max="3" width="48.28515625" customWidth="1"/>
    <col min="11" max="11" width="8.28515625" customWidth="1"/>
    <col min="19" max="19" width="9.140625" customWidth="1"/>
  </cols>
  <sheetData>
    <row r="1" spans="1:23" ht="27" customHeight="1" x14ac:dyDescent="0.25">
      <c r="A1" s="34" t="s">
        <v>0</v>
      </c>
      <c r="B1" s="34"/>
      <c r="C1" s="16" t="s">
        <v>132</v>
      </c>
      <c r="D1" s="1"/>
      <c r="E1" s="6"/>
      <c r="F1" s="18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6.5" x14ac:dyDescent="0.25">
      <c r="A2" s="34" t="s">
        <v>2</v>
      </c>
      <c r="B2" s="34"/>
      <c r="C2" s="5" t="s">
        <v>3</v>
      </c>
      <c r="D2" s="1"/>
      <c r="E2" s="12"/>
      <c r="F2" s="19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3" x14ac:dyDescent="0.25">
      <c r="A3" s="34" t="s">
        <v>5</v>
      </c>
      <c r="B3" s="34"/>
      <c r="C3" s="17">
        <f>I15</f>
        <v>46102</v>
      </c>
      <c r="D3" s="1"/>
      <c r="E3" s="14"/>
      <c r="F3" s="20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6.5" x14ac:dyDescent="0.25">
      <c r="A4" s="34" t="s">
        <v>7</v>
      </c>
      <c r="B4" s="34"/>
      <c r="C4" s="17">
        <f>W15</f>
        <v>46116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6.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6.5" x14ac:dyDescent="0.25">
      <c r="A6" s="1"/>
      <c r="B6" s="35" t="s">
        <v>8</v>
      </c>
      <c r="C6" s="35"/>
      <c r="D6" s="35"/>
      <c r="E6" s="3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6.5" x14ac:dyDescent="0.25">
      <c r="A7" s="1"/>
      <c r="B7" s="15" t="s">
        <v>9</v>
      </c>
      <c r="C7" s="15" t="s">
        <v>10</v>
      </c>
      <c r="D7" s="15" t="s">
        <v>11</v>
      </c>
      <c r="E7" s="15" t="s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6.5" x14ac:dyDescent="0.25">
      <c r="A8" s="1"/>
      <c r="B8" s="13">
        <v>1</v>
      </c>
      <c r="C8" s="13" t="s">
        <v>44</v>
      </c>
      <c r="D8" s="5">
        <f>SUMIF(E16:E104,"Đức",G16:G104)+SUMIF(E16:E104,"All team",G16:G104)/5</f>
        <v>42</v>
      </c>
      <c r="E8" s="5">
        <f>SUMIF(E16:E104,"Đức",H16:H104)+SUMIF(E16:E104,"All team",H16:H104)/5</f>
        <v>46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6.5" x14ac:dyDescent="0.25">
      <c r="A9" s="1"/>
      <c r="B9" s="13">
        <v>2</v>
      </c>
      <c r="C9" s="13" t="s">
        <v>42</v>
      </c>
      <c r="D9" s="5">
        <f>SUMIF(E16:E104,"Tiên",G16:G104)+SUMIF(E16:E104,"All team",G16:G104)/5+SUMIF(E16:E104,"Tiên, Vũ",G16:G104)/2</f>
        <v>43</v>
      </c>
      <c r="E9" s="5">
        <f>SUMIF(E16:E104,"Tiên",H16:H104)+SUMIF(E16:E104,"All team",H16:H104)/5+SUMIF(E16:E104,"Tiên, Vũ",H16:H104)/2</f>
        <v>46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6.5" x14ac:dyDescent="0.25">
      <c r="A10" s="1"/>
      <c r="B10" s="13">
        <v>3</v>
      </c>
      <c r="C10" s="13" t="s">
        <v>43</v>
      </c>
      <c r="D10" s="5">
        <f>SUMIF(E16:E104,"Vũ",G16:G104)+SUMIF(E16:E104,"All team",G16:G104)/5+SUMIF(E16:E104,"Tiên, Vũ",G16:G104)/2</f>
        <v>40</v>
      </c>
      <c r="E10" s="5">
        <f>SUMIF(E16:E104,"Vũ",H16:H104)+SUMIF(E16:E104,"All team",H16:H104)/5+SUMIF(E16:E104,"Tiên, Vũ",H16:H104)/2</f>
        <v>44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6.5" x14ac:dyDescent="0.25">
      <c r="A11" s="1"/>
      <c r="B11" s="13">
        <v>4</v>
      </c>
      <c r="C11" s="13" t="s">
        <v>40</v>
      </c>
      <c r="D11" s="5">
        <f>SUMIF(E16:E104,"Nguyên",G16:G104)+SUMIF(E16:E104,"All team",G16:G104)/5+SUMIF(E16:E104,"Nguyên, Nhã",G16:G104)/2</f>
        <v>45</v>
      </c>
      <c r="E11" s="5">
        <f>SUMIF(E16:E104,"Nguyên",H16:H104)+SUMIF(E16:E104,"All team",H16:H104)/5+SUMIF(E16:E104,"Nguyên, Nhã",H16:H104)/2</f>
        <v>46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6.5" x14ac:dyDescent="0.25">
      <c r="A12" s="1"/>
      <c r="B12" s="13">
        <v>5</v>
      </c>
      <c r="C12" s="13" t="s">
        <v>41</v>
      </c>
      <c r="D12" s="5">
        <f>SUMIF(E16:E104,"Nhã",G16:G104)+SUMIF(E16:E104,"All team",G16:G104)/5+SUMIF(E16:E104,"Nguyên, Nhã",G16:G104)/2</f>
        <v>43</v>
      </c>
      <c r="E12" s="5">
        <f>SUMIF(E16:E104,"Nhã",H16:H104)+SUMIF(E16:E104,"All team",H16:H104)/5+SUMIF(E16:E104,"Nguyên, Nhã",H16:H104)/2</f>
        <v>46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6.5" x14ac:dyDescent="0.25">
      <c r="A13" s="1"/>
      <c r="B13" s="35" t="s">
        <v>13</v>
      </c>
      <c r="C13" s="35"/>
      <c r="D13" s="2">
        <f>SUM(D8:D12)</f>
        <v>213</v>
      </c>
      <c r="E13" s="2">
        <f>SUM(E8:E12)</f>
        <v>228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6.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37.5" x14ac:dyDescent="0.25">
      <c r="A15" s="2" t="s">
        <v>14</v>
      </c>
      <c r="B15" s="2" t="s">
        <v>15</v>
      </c>
      <c r="C15" s="35" t="s">
        <v>16</v>
      </c>
      <c r="D15" s="35"/>
      <c r="E15" s="35" t="s">
        <v>17</v>
      </c>
      <c r="F15" s="35"/>
      <c r="G15" s="3" t="s">
        <v>11</v>
      </c>
      <c r="H15" s="3" t="s">
        <v>12</v>
      </c>
      <c r="I15" s="4">
        <v>46102</v>
      </c>
      <c r="J15" s="4">
        <v>46103</v>
      </c>
      <c r="K15" s="4">
        <v>46104</v>
      </c>
      <c r="L15" s="4">
        <v>46105</v>
      </c>
      <c r="M15" s="4">
        <v>46106</v>
      </c>
      <c r="N15" s="4">
        <v>46107</v>
      </c>
      <c r="O15" s="4">
        <v>46108</v>
      </c>
      <c r="P15" s="4">
        <v>46109</v>
      </c>
      <c r="Q15" s="4">
        <v>46110</v>
      </c>
      <c r="R15" s="4">
        <v>46111</v>
      </c>
      <c r="S15" s="4">
        <v>46112</v>
      </c>
      <c r="T15" s="4">
        <v>46113</v>
      </c>
      <c r="U15" s="4">
        <v>46114</v>
      </c>
      <c r="V15" s="4">
        <v>46115</v>
      </c>
      <c r="W15" s="4">
        <v>46116</v>
      </c>
    </row>
    <row r="16" spans="1:23" ht="16.5" x14ac:dyDescent="0.25">
      <c r="A16" s="41" t="s">
        <v>3</v>
      </c>
      <c r="B16" s="36" t="s">
        <v>18</v>
      </c>
      <c r="C16" s="36"/>
      <c r="D16" s="36"/>
      <c r="E16" s="37" t="s">
        <v>19</v>
      </c>
      <c r="F16" s="37"/>
      <c r="G16" s="5">
        <f>H16-I16</f>
        <v>10</v>
      </c>
      <c r="H16" s="5">
        <v>10</v>
      </c>
      <c r="I16" s="6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</row>
    <row r="17" spans="1:23" ht="16.5" x14ac:dyDescent="0.25">
      <c r="A17" s="41"/>
      <c r="B17" s="36" t="s">
        <v>20</v>
      </c>
      <c r="C17" s="36"/>
      <c r="D17" s="36"/>
      <c r="E17" s="37" t="s">
        <v>96</v>
      </c>
      <c r="F17" s="37"/>
      <c r="G17" s="5">
        <v>4</v>
      </c>
      <c r="H17" s="5">
        <v>4</v>
      </c>
      <c r="I17" s="11">
        <v>4</v>
      </c>
      <c r="J17" s="6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</row>
    <row r="18" spans="1:23" ht="16.5" x14ac:dyDescent="0.25">
      <c r="A18" s="41"/>
      <c r="B18" s="36" t="s">
        <v>21</v>
      </c>
      <c r="C18" s="36"/>
      <c r="D18" s="36"/>
      <c r="E18" s="37" t="s">
        <v>97</v>
      </c>
      <c r="F18" s="37"/>
      <c r="G18" s="5">
        <f>H18-K18</f>
        <v>4</v>
      </c>
      <c r="H18" s="5">
        <v>4</v>
      </c>
      <c r="I18" s="11">
        <v>4</v>
      </c>
      <c r="J18" s="6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</row>
    <row r="19" spans="1:23" ht="16.5" customHeight="1" x14ac:dyDescent="0.25">
      <c r="A19" s="41"/>
      <c r="B19" s="38" t="s">
        <v>22</v>
      </c>
      <c r="C19" s="36" t="s">
        <v>31</v>
      </c>
      <c r="D19" s="36"/>
      <c r="E19" s="37" t="s">
        <v>40</v>
      </c>
      <c r="F19" s="37"/>
      <c r="G19" s="5">
        <f>H19+K19</f>
        <v>2</v>
      </c>
      <c r="H19" s="5">
        <v>2</v>
      </c>
      <c r="I19" s="11">
        <v>2</v>
      </c>
      <c r="J19" s="11">
        <v>2</v>
      </c>
      <c r="K19" s="6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</row>
    <row r="20" spans="1:23" ht="16.5" x14ac:dyDescent="0.25">
      <c r="A20" s="41"/>
      <c r="B20" s="39"/>
      <c r="C20" s="36" t="s">
        <v>32</v>
      </c>
      <c r="D20" s="36"/>
      <c r="E20" s="37" t="s">
        <v>41</v>
      </c>
      <c r="F20" s="37"/>
      <c r="G20" s="5">
        <f t="shared" ref="G20:G28" si="0">H20+K20</f>
        <v>2</v>
      </c>
      <c r="H20" s="5">
        <v>2</v>
      </c>
      <c r="I20" s="11">
        <v>2</v>
      </c>
      <c r="J20" s="11">
        <v>2</v>
      </c>
      <c r="K20" s="6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</row>
    <row r="21" spans="1:23" ht="16.5" x14ac:dyDescent="0.25">
      <c r="A21" s="41"/>
      <c r="B21" s="39"/>
      <c r="C21" s="36" t="s">
        <v>33</v>
      </c>
      <c r="D21" s="36"/>
      <c r="E21" s="37" t="s">
        <v>42</v>
      </c>
      <c r="F21" s="37"/>
      <c r="G21" s="5">
        <f t="shared" si="0"/>
        <v>2</v>
      </c>
      <c r="H21" s="5">
        <v>2</v>
      </c>
      <c r="I21" s="11">
        <v>2</v>
      </c>
      <c r="J21" s="11">
        <v>2</v>
      </c>
      <c r="K21" s="6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</row>
    <row r="22" spans="1:23" ht="16.5" x14ac:dyDescent="0.25">
      <c r="A22" s="41"/>
      <c r="B22" s="39"/>
      <c r="C22" s="42" t="s">
        <v>34</v>
      </c>
      <c r="D22" s="43"/>
      <c r="E22" s="37" t="s">
        <v>43</v>
      </c>
      <c r="F22" s="37"/>
      <c r="G22" s="5">
        <f t="shared" si="0"/>
        <v>2</v>
      </c>
      <c r="H22" s="5">
        <v>2</v>
      </c>
      <c r="I22" s="11">
        <v>2</v>
      </c>
      <c r="J22" s="11">
        <v>2</v>
      </c>
      <c r="K22" s="6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</row>
    <row r="23" spans="1:23" ht="16.5" x14ac:dyDescent="0.25">
      <c r="A23" s="41"/>
      <c r="B23" s="39"/>
      <c r="C23" s="36" t="s">
        <v>35</v>
      </c>
      <c r="D23" s="36"/>
      <c r="E23" s="37" t="s">
        <v>44</v>
      </c>
      <c r="F23" s="37"/>
      <c r="G23" s="5">
        <f>H23+K24</f>
        <v>1</v>
      </c>
      <c r="H23" s="5">
        <v>2</v>
      </c>
      <c r="I23" s="11">
        <v>2</v>
      </c>
      <c r="J23" s="11">
        <v>2</v>
      </c>
      <c r="K23" s="6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</row>
    <row r="24" spans="1:23" ht="16.5" x14ac:dyDescent="0.25">
      <c r="A24" s="41"/>
      <c r="B24" s="39"/>
      <c r="C24" s="32"/>
      <c r="D24" s="33"/>
      <c r="E24" s="32"/>
      <c r="F24" s="33"/>
      <c r="G24" s="5"/>
      <c r="H24" s="5"/>
      <c r="I24" s="11"/>
      <c r="J24" s="11"/>
      <c r="K24" s="14">
        <v>-1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16.5" x14ac:dyDescent="0.25">
      <c r="A25" s="41"/>
      <c r="B25" s="39"/>
      <c r="C25" s="36" t="s">
        <v>139</v>
      </c>
      <c r="D25" s="36"/>
      <c r="E25" s="37" t="s">
        <v>42</v>
      </c>
      <c r="F25" s="37"/>
      <c r="G25" s="5">
        <f t="shared" si="0"/>
        <v>2</v>
      </c>
      <c r="H25" s="5">
        <v>2</v>
      </c>
      <c r="I25" s="11">
        <v>2</v>
      </c>
      <c r="J25" s="11">
        <v>2</v>
      </c>
      <c r="K25" s="6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</row>
    <row r="26" spans="1:23" ht="16.5" x14ac:dyDescent="0.25">
      <c r="A26" s="41"/>
      <c r="B26" s="39"/>
      <c r="C26" s="36" t="s">
        <v>36</v>
      </c>
      <c r="D26" s="36"/>
      <c r="E26" s="37" t="s">
        <v>41</v>
      </c>
      <c r="F26" s="37"/>
      <c r="G26" s="5">
        <f t="shared" si="0"/>
        <v>2</v>
      </c>
      <c r="H26" s="5">
        <v>2</v>
      </c>
      <c r="I26" s="11">
        <v>2</v>
      </c>
      <c r="J26" s="11">
        <v>2</v>
      </c>
      <c r="K26" s="6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</row>
    <row r="27" spans="1:23" ht="16.5" x14ac:dyDescent="0.25">
      <c r="A27" s="41"/>
      <c r="B27" s="39"/>
      <c r="C27" s="42" t="s">
        <v>37</v>
      </c>
      <c r="D27" s="43"/>
      <c r="E27" s="37" t="s">
        <v>42</v>
      </c>
      <c r="F27" s="37"/>
      <c r="G27" s="5">
        <f t="shared" si="0"/>
        <v>2</v>
      </c>
      <c r="H27" s="5">
        <v>2</v>
      </c>
      <c r="I27" s="11">
        <v>2</v>
      </c>
      <c r="J27" s="11">
        <v>2</v>
      </c>
      <c r="K27" s="6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</row>
    <row r="28" spans="1:23" ht="16.5" x14ac:dyDescent="0.25">
      <c r="A28" s="41"/>
      <c r="B28" s="39"/>
      <c r="C28" s="42" t="s">
        <v>38</v>
      </c>
      <c r="D28" s="43"/>
      <c r="E28" s="37" t="s">
        <v>43</v>
      </c>
      <c r="F28" s="37"/>
      <c r="G28" s="5">
        <f t="shared" si="0"/>
        <v>2</v>
      </c>
      <c r="H28" s="5">
        <v>2</v>
      </c>
      <c r="I28" s="11">
        <v>2</v>
      </c>
      <c r="J28" s="11">
        <v>2</v>
      </c>
      <c r="K28" s="6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</row>
    <row r="29" spans="1:23" ht="16.5" x14ac:dyDescent="0.25">
      <c r="A29" s="41"/>
      <c r="B29" s="39"/>
      <c r="C29" s="42" t="s">
        <v>39</v>
      </c>
      <c r="D29" s="43"/>
      <c r="E29" s="37" t="s">
        <v>43</v>
      </c>
      <c r="F29" s="37"/>
      <c r="G29" s="5">
        <f>H29+K30</f>
        <v>1</v>
      </c>
      <c r="H29" s="5">
        <v>2</v>
      </c>
      <c r="I29" s="11">
        <v>2</v>
      </c>
      <c r="J29" s="11">
        <v>2</v>
      </c>
      <c r="K29" s="6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</row>
    <row r="30" spans="1:23" ht="16.5" x14ac:dyDescent="0.25">
      <c r="A30" s="41"/>
      <c r="B30" s="39"/>
      <c r="C30" s="32"/>
      <c r="D30" s="33"/>
      <c r="E30" s="32"/>
      <c r="F30" s="33"/>
      <c r="G30" s="5"/>
      <c r="H30" s="5"/>
      <c r="I30" s="11"/>
      <c r="J30" s="11"/>
      <c r="K30" s="14">
        <v>-1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6.5" x14ac:dyDescent="0.25">
      <c r="A31" s="41"/>
      <c r="B31" s="39"/>
      <c r="C31" s="36" t="s">
        <v>63</v>
      </c>
      <c r="D31" s="36"/>
      <c r="E31" s="37" t="s">
        <v>19</v>
      </c>
      <c r="F31" s="37"/>
      <c r="G31" s="5">
        <f>H31+K32</f>
        <v>5</v>
      </c>
      <c r="H31" s="5">
        <v>10</v>
      </c>
      <c r="I31" s="11">
        <v>10</v>
      </c>
      <c r="J31" s="11">
        <v>10</v>
      </c>
      <c r="K31" s="6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</row>
    <row r="32" spans="1:23" ht="16.5" x14ac:dyDescent="0.25">
      <c r="A32" s="41"/>
      <c r="B32" s="40"/>
      <c r="C32" s="32"/>
      <c r="D32" s="33"/>
      <c r="E32" s="32"/>
      <c r="F32" s="33"/>
      <c r="G32" s="5"/>
      <c r="H32" s="5"/>
      <c r="I32" s="11"/>
      <c r="J32" s="11"/>
      <c r="K32" s="14">
        <v>-5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6.5" x14ac:dyDescent="0.25">
      <c r="A33" s="41"/>
      <c r="B33" s="41" t="s">
        <v>23</v>
      </c>
      <c r="C33" s="36" t="s">
        <v>31</v>
      </c>
      <c r="D33" s="36"/>
      <c r="E33" s="37" t="s">
        <v>40</v>
      </c>
      <c r="F33" s="37"/>
      <c r="G33" s="5">
        <f>H33+L33</f>
        <v>2</v>
      </c>
      <c r="H33" s="5">
        <v>2</v>
      </c>
      <c r="I33" s="11">
        <v>2</v>
      </c>
      <c r="J33" s="5">
        <v>2</v>
      </c>
      <c r="K33" s="11">
        <v>2</v>
      </c>
      <c r="L33" s="6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</row>
    <row r="34" spans="1:23" ht="16.5" x14ac:dyDescent="0.25">
      <c r="A34" s="41"/>
      <c r="B34" s="41"/>
      <c r="C34" s="36" t="s">
        <v>32</v>
      </c>
      <c r="D34" s="36"/>
      <c r="E34" s="37" t="s">
        <v>41</v>
      </c>
      <c r="F34" s="37"/>
      <c r="G34" s="5">
        <f t="shared" ref="G34:G42" si="1">H34+L34</f>
        <v>2</v>
      </c>
      <c r="H34" s="5">
        <v>2</v>
      </c>
      <c r="I34" s="11">
        <v>2</v>
      </c>
      <c r="J34" s="5">
        <v>2</v>
      </c>
      <c r="K34" s="11">
        <v>2</v>
      </c>
      <c r="L34" s="6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</row>
    <row r="35" spans="1:23" ht="16.5" x14ac:dyDescent="0.25">
      <c r="A35" s="41"/>
      <c r="B35" s="41"/>
      <c r="C35" s="36" t="s">
        <v>33</v>
      </c>
      <c r="D35" s="36"/>
      <c r="E35" s="37" t="s">
        <v>42</v>
      </c>
      <c r="F35" s="37"/>
      <c r="G35" s="5">
        <f t="shared" si="1"/>
        <v>2</v>
      </c>
      <c r="H35" s="5">
        <v>2</v>
      </c>
      <c r="I35" s="11">
        <v>2</v>
      </c>
      <c r="J35" s="5">
        <v>2</v>
      </c>
      <c r="K35" s="11">
        <v>2</v>
      </c>
      <c r="L35" s="6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</row>
    <row r="36" spans="1:23" ht="16.5" x14ac:dyDescent="0.25">
      <c r="A36" s="41"/>
      <c r="B36" s="41"/>
      <c r="C36" s="42" t="s">
        <v>34</v>
      </c>
      <c r="D36" s="43"/>
      <c r="E36" s="37" t="s">
        <v>43</v>
      </c>
      <c r="F36" s="37"/>
      <c r="G36" s="5">
        <f t="shared" si="1"/>
        <v>2</v>
      </c>
      <c r="H36" s="5">
        <v>2</v>
      </c>
      <c r="I36" s="11">
        <v>2</v>
      </c>
      <c r="J36" s="5">
        <v>2</v>
      </c>
      <c r="K36" s="11">
        <v>2</v>
      </c>
      <c r="L36" s="6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</row>
    <row r="37" spans="1:23" ht="16.5" x14ac:dyDescent="0.25">
      <c r="A37" s="41"/>
      <c r="B37" s="41"/>
      <c r="C37" s="36" t="s">
        <v>35</v>
      </c>
      <c r="D37" s="36"/>
      <c r="E37" s="37" t="s">
        <v>44</v>
      </c>
      <c r="F37" s="37"/>
      <c r="G37" s="5">
        <f t="shared" si="1"/>
        <v>2</v>
      </c>
      <c r="H37" s="5">
        <v>2</v>
      </c>
      <c r="I37" s="11">
        <v>2</v>
      </c>
      <c r="J37" s="5">
        <v>2</v>
      </c>
      <c r="K37" s="11">
        <v>2</v>
      </c>
      <c r="L37" s="6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</row>
    <row r="38" spans="1:23" ht="16.5" x14ac:dyDescent="0.25">
      <c r="A38" s="41"/>
      <c r="B38" s="41"/>
      <c r="C38" s="36" t="s">
        <v>139</v>
      </c>
      <c r="D38" s="36"/>
      <c r="E38" s="37" t="s">
        <v>42</v>
      </c>
      <c r="F38" s="37"/>
      <c r="G38" s="5">
        <f t="shared" si="1"/>
        <v>2</v>
      </c>
      <c r="H38" s="5">
        <v>2</v>
      </c>
      <c r="I38" s="11">
        <v>2</v>
      </c>
      <c r="J38" s="5">
        <v>2</v>
      </c>
      <c r="K38" s="11">
        <v>2</v>
      </c>
      <c r="L38" s="6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</row>
    <row r="39" spans="1:23" ht="16.5" x14ac:dyDescent="0.25">
      <c r="A39" s="41"/>
      <c r="B39" s="41"/>
      <c r="C39" s="36" t="s">
        <v>36</v>
      </c>
      <c r="D39" s="36"/>
      <c r="E39" s="37" t="s">
        <v>41</v>
      </c>
      <c r="F39" s="37"/>
      <c r="G39" s="5">
        <f t="shared" si="1"/>
        <v>2</v>
      </c>
      <c r="H39" s="5">
        <v>2</v>
      </c>
      <c r="I39" s="11">
        <v>2</v>
      </c>
      <c r="J39" s="5">
        <v>2</v>
      </c>
      <c r="K39" s="11">
        <v>2</v>
      </c>
      <c r="L39" s="6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</row>
    <row r="40" spans="1:23" ht="16.5" x14ac:dyDescent="0.25">
      <c r="A40" s="41"/>
      <c r="B40" s="41"/>
      <c r="C40" s="42" t="s">
        <v>37</v>
      </c>
      <c r="D40" s="43"/>
      <c r="E40" s="37" t="s">
        <v>42</v>
      </c>
      <c r="F40" s="37"/>
      <c r="G40" s="5">
        <f t="shared" si="1"/>
        <v>2</v>
      </c>
      <c r="H40" s="5">
        <v>2</v>
      </c>
      <c r="I40" s="11">
        <v>2</v>
      </c>
      <c r="J40" s="5">
        <v>2</v>
      </c>
      <c r="K40" s="11">
        <v>2</v>
      </c>
      <c r="L40" s="6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</row>
    <row r="41" spans="1:23" ht="16.5" x14ac:dyDescent="0.25">
      <c r="A41" s="41"/>
      <c r="B41" s="41"/>
      <c r="C41" s="42" t="s">
        <v>38</v>
      </c>
      <c r="D41" s="43"/>
      <c r="E41" s="37" t="s">
        <v>43</v>
      </c>
      <c r="F41" s="37"/>
      <c r="G41" s="5">
        <f t="shared" si="1"/>
        <v>2</v>
      </c>
      <c r="H41" s="5">
        <v>2</v>
      </c>
      <c r="I41" s="11">
        <v>2</v>
      </c>
      <c r="J41" s="5">
        <v>2</v>
      </c>
      <c r="K41" s="11">
        <v>2</v>
      </c>
      <c r="L41" s="6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</row>
    <row r="42" spans="1:23" ht="16.5" x14ac:dyDescent="0.25">
      <c r="A42" s="41"/>
      <c r="B42" s="41"/>
      <c r="C42" s="42" t="s">
        <v>39</v>
      </c>
      <c r="D42" s="43"/>
      <c r="E42" s="37" t="s">
        <v>44</v>
      </c>
      <c r="F42" s="37"/>
      <c r="G42" s="5">
        <f t="shared" si="1"/>
        <v>2</v>
      </c>
      <c r="H42" s="5">
        <v>2</v>
      </c>
      <c r="I42" s="11">
        <v>2</v>
      </c>
      <c r="J42" s="5">
        <v>2</v>
      </c>
      <c r="K42" s="11">
        <v>2</v>
      </c>
      <c r="L42" s="6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</row>
    <row r="43" spans="1:23" ht="16.5" x14ac:dyDescent="0.25">
      <c r="A43" s="41"/>
      <c r="B43" s="41"/>
      <c r="C43" s="36" t="s">
        <v>64</v>
      </c>
      <c r="D43" s="36"/>
      <c r="E43" s="37" t="s">
        <v>19</v>
      </c>
      <c r="F43" s="37"/>
      <c r="G43" s="5">
        <f>H43+L44</f>
        <v>5</v>
      </c>
      <c r="H43" s="5">
        <v>10</v>
      </c>
      <c r="I43" s="11">
        <v>10</v>
      </c>
      <c r="J43" s="11">
        <v>10</v>
      </c>
      <c r="K43" s="11">
        <v>10</v>
      </c>
      <c r="L43" s="6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</row>
    <row r="44" spans="1:23" ht="16.5" x14ac:dyDescent="0.25">
      <c r="A44" s="41"/>
      <c r="B44" s="41"/>
      <c r="C44" s="36"/>
      <c r="D44" s="36"/>
      <c r="E44" s="37"/>
      <c r="F44" s="37"/>
      <c r="G44" s="5"/>
      <c r="H44" s="5"/>
      <c r="I44" s="11"/>
      <c r="J44" s="11"/>
      <c r="K44" s="11"/>
      <c r="L44" s="14">
        <v>-5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</row>
    <row r="45" spans="1:23" ht="16.5" x14ac:dyDescent="0.25">
      <c r="A45" s="41"/>
      <c r="B45" s="38" t="s">
        <v>24</v>
      </c>
      <c r="C45" s="36" t="s">
        <v>45</v>
      </c>
      <c r="D45" s="36"/>
      <c r="E45" s="37" t="s">
        <v>44</v>
      </c>
      <c r="F45" s="37"/>
      <c r="G45" s="5">
        <v>2</v>
      </c>
      <c r="H45" s="5">
        <v>2</v>
      </c>
      <c r="I45" s="11">
        <v>2</v>
      </c>
      <c r="J45" s="5">
        <v>2</v>
      </c>
      <c r="K45" s="11">
        <v>2</v>
      </c>
      <c r="L45" s="5">
        <v>2</v>
      </c>
      <c r="M45" s="6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</row>
    <row r="46" spans="1:23" ht="16.5" x14ac:dyDescent="0.25">
      <c r="A46" s="41"/>
      <c r="B46" s="39"/>
      <c r="C46" s="36" t="s">
        <v>46</v>
      </c>
      <c r="D46" s="36"/>
      <c r="E46" s="37" t="s">
        <v>40</v>
      </c>
      <c r="F46" s="37"/>
      <c r="G46" s="5">
        <f>H46+M47</f>
        <v>3</v>
      </c>
      <c r="H46" s="5">
        <v>2</v>
      </c>
      <c r="I46" s="11">
        <v>2</v>
      </c>
      <c r="J46" s="5">
        <v>2</v>
      </c>
      <c r="K46" s="11">
        <v>2</v>
      </c>
      <c r="L46" s="11">
        <v>2</v>
      </c>
      <c r="M46" s="6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</row>
    <row r="47" spans="1:23" ht="16.5" x14ac:dyDescent="0.25">
      <c r="A47" s="41"/>
      <c r="B47" s="39"/>
      <c r="C47" s="32"/>
      <c r="D47" s="33"/>
      <c r="E47" s="32"/>
      <c r="F47" s="33"/>
      <c r="G47" s="5"/>
      <c r="H47" s="5"/>
      <c r="I47" s="11">
        <v>2</v>
      </c>
      <c r="J47" s="5">
        <v>2</v>
      </c>
      <c r="K47" s="11">
        <v>2</v>
      </c>
      <c r="L47" s="5">
        <v>2</v>
      </c>
      <c r="M47" s="12">
        <v>1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ht="16.5" x14ac:dyDescent="0.25">
      <c r="A48" s="41"/>
      <c r="B48" s="39"/>
      <c r="C48" s="36" t="s">
        <v>47</v>
      </c>
      <c r="D48" s="36"/>
      <c r="E48" s="37" t="s">
        <v>41</v>
      </c>
      <c r="F48" s="37"/>
      <c r="G48" s="5">
        <v>2</v>
      </c>
      <c r="H48" s="5">
        <v>2</v>
      </c>
      <c r="I48" s="11">
        <v>2</v>
      </c>
      <c r="J48" s="5">
        <v>2</v>
      </c>
      <c r="K48" s="11">
        <v>2</v>
      </c>
      <c r="L48" s="11">
        <v>2</v>
      </c>
      <c r="M48" s="6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</row>
    <row r="49" spans="1:23" ht="16.5" x14ac:dyDescent="0.25">
      <c r="A49" s="41"/>
      <c r="B49" s="39"/>
      <c r="C49" s="36" t="s">
        <v>48</v>
      </c>
      <c r="D49" s="36"/>
      <c r="E49" s="37" t="s">
        <v>42</v>
      </c>
      <c r="F49" s="37"/>
      <c r="G49" s="5">
        <v>2</v>
      </c>
      <c r="H49" s="5">
        <v>2</v>
      </c>
      <c r="I49" s="11">
        <v>2</v>
      </c>
      <c r="J49" s="5">
        <v>2</v>
      </c>
      <c r="K49" s="11">
        <v>2</v>
      </c>
      <c r="L49" s="5">
        <v>2</v>
      </c>
      <c r="M49" s="6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</row>
    <row r="50" spans="1:23" ht="16.5" x14ac:dyDescent="0.25">
      <c r="A50" s="41"/>
      <c r="B50" s="39"/>
      <c r="C50" s="36" t="s">
        <v>49</v>
      </c>
      <c r="D50" s="36"/>
      <c r="E50" s="37" t="s">
        <v>43</v>
      </c>
      <c r="F50" s="37"/>
      <c r="G50" s="5">
        <v>2</v>
      </c>
      <c r="H50" s="5">
        <v>2</v>
      </c>
      <c r="I50" s="11">
        <v>2</v>
      </c>
      <c r="J50" s="5">
        <v>2</v>
      </c>
      <c r="K50" s="11">
        <v>2</v>
      </c>
      <c r="L50" s="11">
        <v>2</v>
      </c>
      <c r="M50" s="6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</row>
    <row r="51" spans="1:23" ht="16.5" x14ac:dyDescent="0.25">
      <c r="A51" s="41"/>
      <c r="B51" s="39"/>
      <c r="C51" s="36" t="s">
        <v>140</v>
      </c>
      <c r="D51" s="36"/>
      <c r="E51" s="37" t="s">
        <v>44</v>
      </c>
      <c r="F51" s="37"/>
      <c r="G51" s="5">
        <v>2</v>
      </c>
      <c r="H51" s="5">
        <v>2</v>
      </c>
      <c r="I51" s="11">
        <v>2</v>
      </c>
      <c r="J51" s="5">
        <v>2</v>
      </c>
      <c r="K51" s="11">
        <v>2</v>
      </c>
      <c r="L51" s="5">
        <v>2</v>
      </c>
      <c r="M51" s="11">
        <v>2</v>
      </c>
      <c r="N51" s="6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</row>
    <row r="52" spans="1:23" ht="16.5" x14ac:dyDescent="0.25">
      <c r="A52" s="41"/>
      <c r="B52" s="39"/>
      <c r="C52" s="36" t="s">
        <v>50</v>
      </c>
      <c r="D52" s="36"/>
      <c r="E52" s="37" t="s">
        <v>40</v>
      </c>
      <c r="F52" s="37"/>
      <c r="G52" s="5">
        <f>H52+N53</f>
        <v>3</v>
      </c>
      <c r="H52" s="5">
        <v>2</v>
      </c>
      <c r="I52" s="11">
        <v>2</v>
      </c>
      <c r="J52" s="5">
        <v>2</v>
      </c>
      <c r="K52" s="11">
        <v>2</v>
      </c>
      <c r="L52" s="11">
        <v>2</v>
      </c>
      <c r="M52" s="11">
        <v>2</v>
      </c>
      <c r="N52" s="6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</row>
    <row r="53" spans="1:23" ht="16.5" x14ac:dyDescent="0.25">
      <c r="A53" s="41"/>
      <c r="B53" s="39"/>
      <c r="C53" s="32"/>
      <c r="D53" s="33"/>
      <c r="E53" s="32"/>
      <c r="F53" s="33"/>
      <c r="G53" s="5"/>
      <c r="H53" s="5"/>
      <c r="I53" s="11">
        <v>2</v>
      </c>
      <c r="J53" s="5">
        <v>2</v>
      </c>
      <c r="K53" s="11">
        <v>2</v>
      </c>
      <c r="L53" s="5">
        <v>2</v>
      </c>
      <c r="M53" s="11">
        <v>2</v>
      </c>
      <c r="N53" s="12">
        <v>1</v>
      </c>
      <c r="O53" s="11"/>
      <c r="P53" s="11"/>
      <c r="Q53" s="11"/>
      <c r="R53" s="11"/>
      <c r="S53" s="11"/>
      <c r="T53" s="11"/>
      <c r="U53" s="11"/>
      <c r="V53" s="11"/>
      <c r="W53" s="11"/>
    </row>
    <row r="54" spans="1:23" ht="16.5" x14ac:dyDescent="0.25">
      <c r="A54" s="41"/>
      <c r="B54" s="39"/>
      <c r="C54" s="36" t="s">
        <v>51</v>
      </c>
      <c r="D54" s="36"/>
      <c r="E54" s="37" t="s">
        <v>41</v>
      </c>
      <c r="F54" s="37"/>
      <c r="G54" s="5">
        <v>2</v>
      </c>
      <c r="H54" s="5">
        <v>2</v>
      </c>
      <c r="I54" s="11">
        <v>2</v>
      </c>
      <c r="J54" s="5">
        <v>2</v>
      </c>
      <c r="K54" s="11">
        <v>2</v>
      </c>
      <c r="L54" s="11">
        <v>2</v>
      </c>
      <c r="M54" s="11">
        <v>2</v>
      </c>
      <c r="N54" s="6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</row>
    <row r="55" spans="1:23" ht="16.5" x14ac:dyDescent="0.25">
      <c r="A55" s="41"/>
      <c r="B55" s="39"/>
      <c r="C55" s="36" t="s">
        <v>52</v>
      </c>
      <c r="D55" s="36"/>
      <c r="E55" s="37" t="s">
        <v>42</v>
      </c>
      <c r="F55" s="37"/>
      <c r="G55" s="5">
        <v>2</v>
      </c>
      <c r="H55" s="5">
        <v>2</v>
      </c>
      <c r="I55" s="11">
        <v>2</v>
      </c>
      <c r="J55" s="5">
        <v>2</v>
      </c>
      <c r="K55" s="11">
        <v>2</v>
      </c>
      <c r="L55" s="5">
        <v>2</v>
      </c>
      <c r="M55" s="11">
        <v>2</v>
      </c>
      <c r="N55" s="6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</row>
    <row r="56" spans="1:23" ht="16.5" x14ac:dyDescent="0.25">
      <c r="A56" s="41"/>
      <c r="B56" s="39"/>
      <c r="C56" s="36" t="s">
        <v>53</v>
      </c>
      <c r="D56" s="36"/>
      <c r="E56" s="37" t="s">
        <v>43</v>
      </c>
      <c r="F56" s="37"/>
      <c r="G56" s="5">
        <v>2</v>
      </c>
      <c r="H56" s="5">
        <v>2</v>
      </c>
      <c r="I56" s="11">
        <v>2</v>
      </c>
      <c r="J56" s="5">
        <v>2</v>
      </c>
      <c r="K56" s="11">
        <v>2</v>
      </c>
      <c r="L56" s="11">
        <v>2</v>
      </c>
      <c r="M56" s="11">
        <v>2</v>
      </c>
      <c r="N56" s="6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</row>
    <row r="57" spans="1:23" ht="16.5" x14ac:dyDescent="0.25">
      <c r="A57" s="41"/>
      <c r="B57" s="39"/>
      <c r="C57" s="36" t="s">
        <v>54</v>
      </c>
      <c r="D57" s="36"/>
      <c r="E57" s="37" t="s">
        <v>44</v>
      </c>
      <c r="F57" s="37"/>
      <c r="G57" s="5">
        <v>4</v>
      </c>
      <c r="H57" s="5">
        <v>4</v>
      </c>
      <c r="I57" s="11">
        <v>4</v>
      </c>
      <c r="J57" s="5">
        <v>4</v>
      </c>
      <c r="K57" s="11">
        <v>4</v>
      </c>
      <c r="L57" s="5">
        <v>4</v>
      </c>
      <c r="M57" s="11">
        <v>4</v>
      </c>
      <c r="N57" s="5">
        <v>4</v>
      </c>
      <c r="O57" s="11">
        <v>4</v>
      </c>
      <c r="P57" s="6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</row>
    <row r="58" spans="1:23" ht="16.5" x14ac:dyDescent="0.25">
      <c r="A58" s="41"/>
      <c r="B58" s="39"/>
      <c r="C58" s="36" t="s">
        <v>55</v>
      </c>
      <c r="D58" s="36"/>
      <c r="E58" s="37" t="s">
        <v>40</v>
      </c>
      <c r="F58" s="37"/>
      <c r="G58" s="5">
        <f>H58+P59</f>
        <v>5</v>
      </c>
      <c r="H58" s="5">
        <v>4</v>
      </c>
      <c r="I58" s="11">
        <v>4</v>
      </c>
      <c r="J58" s="5">
        <v>4</v>
      </c>
      <c r="K58" s="11">
        <v>4</v>
      </c>
      <c r="L58" s="5">
        <v>4</v>
      </c>
      <c r="M58" s="11">
        <v>4</v>
      </c>
      <c r="N58" s="5">
        <v>4</v>
      </c>
      <c r="O58" s="11">
        <v>4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</row>
    <row r="59" spans="1:23" ht="16.5" x14ac:dyDescent="0.25">
      <c r="A59" s="41"/>
      <c r="B59" s="39"/>
      <c r="C59" s="32"/>
      <c r="D59" s="33"/>
      <c r="E59" s="32"/>
      <c r="F59" s="33"/>
      <c r="G59" s="5"/>
      <c r="H59" s="5"/>
      <c r="I59" s="11"/>
      <c r="J59" s="5"/>
      <c r="K59" s="11"/>
      <c r="L59" s="5"/>
      <c r="M59" s="11"/>
      <c r="N59" s="11"/>
      <c r="O59" s="11"/>
      <c r="P59" s="12">
        <v>1</v>
      </c>
      <c r="Q59" s="11"/>
      <c r="R59" s="11"/>
      <c r="S59" s="11"/>
      <c r="T59" s="11"/>
      <c r="U59" s="11"/>
      <c r="V59" s="11"/>
      <c r="W59" s="11"/>
    </row>
    <row r="60" spans="1:23" ht="16.5" x14ac:dyDescent="0.25">
      <c r="A60" s="41"/>
      <c r="B60" s="39"/>
      <c r="C60" s="36" t="s">
        <v>56</v>
      </c>
      <c r="D60" s="36"/>
      <c r="E60" s="37" t="s">
        <v>41</v>
      </c>
      <c r="F60" s="37"/>
      <c r="G60" s="5">
        <v>4</v>
      </c>
      <c r="H60" s="5">
        <v>4</v>
      </c>
      <c r="I60" s="11">
        <v>4</v>
      </c>
      <c r="J60" s="5">
        <v>4</v>
      </c>
      <c r="K60" s="11">
        <v>4</v>
      </c>
      <c r="L60" s="5">
        <v>4</v>
      </c>
      <c r="M60" s="11">
        <v>4</v>
      </c>
      <c r="N60" s="5">
        <v>4</v>
      </c>
      <c r="O60" s="11">
        <v>4</v>
      </c>
      <c r="P60" s="6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</row>
    <row r="61" spans="1:23" ht="16.5" x14ac:dyDescent="0.25">
      <c r="A61" s="41"/>
      <c r="B61" s="39"/>
      <c r="C61" s="36" t="s">
        <v>57</v>
      </c>
      <c r="D61" s="36"/>
      <c r="E61" s="37" t="s">
        <v>44</v>
      </c>
      <c r="F61" s="37"/>
      <c r="G61" s="5">
        <v>4</v>
      </c>
      <c r="H61" s="5">
        <v>4</v>
      </c>
      <c r="I61" s="11">
        <v>4</v>
      </c>
      <c r="J61" s="5">
        <v>4</v>
      </c>
      <c r="K61" s="11">
        <v>4</v>
      </c>
      <c r="L61" s="5">
        <v>4</v>
      </c>
      <c r="M61" s="11">
        <v>4</v>
      </c>
      <c r="N61" s="5">
        <v>4</v>
      </c>
      <c r="O61" s="11">
        <v>4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</row>
    <row r="62" spans="1:23" ht="16.5" x14ac:dyDescent="0.25">
      <c r="A62" s="41"/>
      <c r="B62" s="39"/>
      <c r="C62" s="36" t="s">
        <v>58</v>
      </c>
      <c r="D62" s="36"/>
      <c r="E62" s="37" t="s">
        <v>40</v>
      </c>
      <c r="F62" s="37"/>
      <c r="G62" s="5">
        <v>4</v>
      </c>
      <c r="H62" s="5">
        <v>4</v>
      </c>
      <c r="I62" s="11">
        <v>4</v>
      </c>
      <c r="J62" s="5">
        <v>4</v>
      </c>
      <c r="K62" s="11">
        <v>4</v>
      </c>
      <c r="L62" s="5">
        <v>4</v>
      </c>
      <c r="M62" s="11">
        <v>4</v>
      </c>
      <c r="N62" s="5">
        <v>4</v>
      </c>
      <c r="O62" s="11">
        <v>4</v>
      </c>
      <c r="P62" s="6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</row>
    <row r="63" spans="1:23" ht="16.5" x14ac:dyDescent="0.25">
      <c r="A63" s="41"/>
      <c r="B63" s="39"/>
      <c r="C63" s="36" t="s">
        <v>141</v>
      </c>
      <c r="D63" s="36"/>
      <c r="E63" s="37" t="s">
        <v>44</v>
      </c>
      <c r="F63" s="37"/>
      <c r="G63" s="5">
        <v>4</v>
      </c>
      <c r="H63" s="5">
        <v>4</v>
      </c>
      <c r="I63" s="11">
        <v>4</v>
      </c>
      <c r="J63" s="5">
        <v>4</v>
      </c>
      <c r="K63" s="11">
        <v>4</v>
      </c>
      <c r="L63" s="5">
        <v>4</v>
      </c>
      <c r="M63" s="11">
        <v>4</v>
      </c>
      <c r="N63" s="5">
        <v>4</v>
      </c>
      <c r="O63" s="11">
        <v>4</v>
      </c>
      <c r="P63" s="11">
        <v>4</v>
      </c>
      <c r="Q63" s="11">
        <v>4</v>
      </c>
      <c r="R63" s="6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</row>
    <row r="64" spans="1:23" ht="16.5" x14ac:dyDescent="0.25">
      <c r="A64" s="41"/>
      <c r="B64" s="39"/>
      <c r="C64" s="36" t="s">
        <v>59</v>
      </c>
      <c r="D64" s="36"/>
      <c r="E64" s="37" t="s">
        <v>40</v>
      </c>
      <c r="F64" s="37"/>
      <c r="G64" s="5">
        <f>H64+R65</f>
        <v>5</v>
      </c>
      <c r="H64" s="5">
        <v>4</v>
      </c>
      <c r="I64" s="11">
        <v>4</v>
      </c>
      <c r="J64" s="5">
        <v>4</v>
      </c>
      <c r="K64" s="11">
        <v>4</v>
      </c>
      <c r="L64" s="5">
        <v>4</v>
      </c>
      <c r="M64" s="11">
        <v>4</v>
      </c>
      <c r="N64" s="5">
        <v>4</v>
      </c>
      <c r="O64" s="11">
        <v>4</v>
      </c>
      <c r="P64" s="11">
        <v>4</v>
      </c>
      <c r="Q64" s="11">
        <v>4</v>
      </c>
      <c r="R64" s="6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</row>
    <row r="65" spans="1:23" ht="16.5" x14ac:dyDescent="0.25">
      <c r="A65" s="41"/>
      <c r="B65" s="39"/>
      <c r="C65" s="32"/>
      <c r="D65" s="33"/>
      <c r="E65" s="32"/>
      <c r="F65" s="33"/>
      <c r="G65" s="5"/>
      <c r="H65" s="5"/>
      <c r="I65" s="11"/>
      <c r="J65" s="5"/>
      <c r="K65" s="11"/>
      <c r="L65" s="5"/>
      <c r="M65" s="11"/>
      <c r="N65" s="11"/>
      <c r="O65" s="11"/>
      <c r="P65" s="11"/>
      <c r="Q65" s="11"/>
      <c r="R65" s="12">
        <v>1</v>
      </c>
      <c r="S65" s="11"/>
      <c r="T65" s="11"/>
      <c r="U65" s="11"/>
      <c r="V65" s="11"/>
      <c r="W65" s="11"/>
    </row>
    <row r="66" spans="1:23" ht="16.5" x14ac:dyDescent="0.25">
      <c r="A66" s="41"/>
      <c r="B66" s="39"/>
      <c r="C66" s="36" t="s">
        <v>60</v>
      </c>
      <c r="D66" s="36"/>
      <c r="E66" s="37" t="s">
        <v>41</v>
      </c>
      <c r="F66" s="37"/>
      <c r="G66" s="5">
        <v>4</v>
      </c>
      <c r="H66" s="5">
        <v>4</v>
      </c>
      <c r="I66" s="11">
        <v>4</v>
      </c>
      <c r="J66" s="5">
        <v>4</v>
      </c>
      <c r="K66" s="11">
        <v>4</v>
      </c>
      <c r="L66" s="5">
        <v>4</v>
      </c>
      <c r="M66" s="11">
        <v>4</v>
      </c>
      <c r="N66" s="5">
        <v>4</v>
      </c>
      <c r="O66" s="11">
        <v>4</v>
      </c>
      <c r="P66" s="5">
        <v>4</v>
      </c>
      <c r="Q66" s="11">
        <v>4</v>
      </c>
      <c r="R66" s="6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</row>
    <row r="67" spans="1:23" ht="16.5" x14ac:dyDescent="0.25">
      <c r="A67" s="41"/>
      <c r="B67" s="39"/>
      <c r="C67" s="36" t="s">
        <v>61</v>
      </c>
      <c r="D67" s="36"/>
      <c r="E67" s="37" t="s">
        <v>42</v>
      </c>
      <c r="F67" s="37"/>
      <c r="G67" s="5">
        <v>4</v>
      </c>
      <c r="H67" s="5">
        <v>4</v>
      </c>
      <c r="I67" s="11">
        <v>4</v>
      </c>
      <c r="J67" s="5">
        <v>4</v>
      </c>
      <c r="K67" s="11">
        <v>4</v>
      </c>
      <c r="L67" s="5">
        <v>4</v>
      </c>
      <c r="M67" s="11">
        <v>4</v>
      </c>
      <c r="N67" s="5">
        <v>4</v>
      </c>
      <c r="O67" s="11">
        <v>4</v>
      </c>
      <c r="P67" s="5">
        <v>4</v>
      </c>
      <c r="Q67" s="11">
        <v>4</v>
      </c>
      <c r="R67" s="6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</row>
    <row r="68" spans="1:23" ht="16.5" x14ac:dyDescent="0.25">
      <c r="A68" s="41"/>
      <c r="B68" s="39"/>
      <c r="C68" s="36" t="s">
        <v>62</v>
      </c>
      <c r="D68" s="36"/>
      <c r="E68" s="37" t="s">
        <v>43</v>
      </c>
      <c r="F68" s="37"/>
      <c r="G68" s="5">
        <v>4</v>
      </c>
      <c r="H68" s="5">
        <v>4</v>
      </c>
      <c r="I68" s="11">
        <v>4</v>
      </c>
      <c r="J68" s="5">
        <v>4</v>
      </c>
      <c r="K68" s="11">
        <v>4</v>
      </c>
      <c r="L68" s="5">
        <v>4</v>
      </c>
      <c r="M68" s="11">
        <v>4</v>
      </c>
      <c r="N68" s="5">
        <v>4</v>
      </c>
      <c r="O68" s="11">
        <v>4</v>
      </c>
      <c r="P68" s="5">
        <v>4</v>
      </c>
      <c r="Q68" s="11">
        <v>4</v>
      </c>
      <c r="R68" s="6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</row>
    <row r="69" spans="1:23" ht="16.5" x14ac:dyDescent="0.25">
      <c r="A69" s="41"/>
      <c r="B69" s="40"/>
      <c r="C69" s="42" t="s">
        <v>93</v>
      </c>
      <c r="D69" s="43"/>
      <c r="E69" s="32" t="s">
        <v>19</v>
      </c>
      <c r="F69" s="33"/>
      <c r="G69" s="5">
        <v>10</v>
      </c>
      <c r="H69" s="5">
        <v>10</v>
      </c>
      <c r="I69" s="5">
        <v>10</v>
      </c>
      <c r="J69" s="5">
        <v>10</v>
      </c>
      <c r="K69" s="5">
        <v>10</v>
      </c>
      <c r="L69" s="5">
        <v>10</v>
      </c>
      <c r="M69" s="5">
        <v>10</v>
      </c>
      <c r="N69" s="5">
        <v>10</v>
      </c>
      <c r="O69" s="5">
        <v>10</v>
      </c>
      <c r="P69" s="5">
        <v>10</v>
      </c>
      <c r="Q69" s="5">
        <v>10</v>
      </c>
      <c r="R69" s="6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</row>
    <row r="70" spans="1:23" ht="16.5" x14ac:dyDescent="0.25">
      <c r="A70" s="41"/>
      <c r="B70" s="41" t="s">
        <v>25</v>
      </c>
      <c r="C70" s="36" t="s">
        <v>31</v>
      </c>
      <c r="D70" s="36"/>
      <c r="E70" s="37" t="s">
        <v>40</v>
      </c>
      <c r="F70" s="37"/>
      <c r="G70" s="5">
        <f>H70+S71</f>
        <v>1</v>
      </c>
      <c r="H70" s="5">
        <v>2</v>
      </c>
      <c r="I70" s="11">
        <v>2</v>
      </c>
      <c r="J70" s="5">
        <v>2</v>
      </c>
      <c r="K70" s="11">
        <v>2</v>
      </c>
      <c r="L70" s="5">
        <v>2</v>
      </c>
      <c r="M70" s="11">
        <v>2</v>
      </c>
      <c r="N70" s="11">
        <v>2</v>
      </c>
      <c r="O70" s="11">
        <v>2</v>
      </c>
      <c r="P70" s="11">
        <v>2</v>
      </c>
      <c r="Q70" s="11">
        <v>2</v>
      </c>
      <c r="R70" s="11">
        <v>2</v>
      </c>
      <c r="S70" s="6">
        <v>0</v>
      </c>
      <c r="T70" s="11">
        <v>0</v>
      </c>
      <c r="U70" s="11">
        <v>0</v>
      </c>
      <c r="V70" s="11">
        <v>0</v>
      </c>
      <c r="W70" s="11">
        <v>0</v>
      </c>
    </row>
    <row r="71" spans="1:23" ht="16.5" x14ac:dyDescent="0.25">
      <c r="A71" s="41"/>
      <c r="B71" s="41"/>
      <c r="C71" s="32"/>
      <c r="D71" s="33"/>
      <c r="E71" s="32"/>
      <c r="F71" s="33"/>
      <c r="G71" s="5"/>
      <c r="H71" s="5"/>
      <c r="I71" s="11"/>
      <c r="J71" s="5"/>
      <c r="K71" s="11"/>
      <c r="L71" s="11"/>
      <c r="M71" s="11"/>
      <c r="N71" s="11"/>
      <c r="O71" s="11"/>
      <c r="P71" s="11"/>
      <c r="Q71" s="11"/>
      <c r="R71" s="11"/>
      <c r="S71" s="14">
        <v>-1</v>
      </c>
      <c r="T71" s="11"/>
      <c r="U71" s="11"/>
      <c r="V71" s="11"/>
      <c r="W71" s="11"/>
    </row>
    <row r="72" spans="1:23" ht="16.5" x14ac:dyDescent="0.25">
      <c r="A72" s="41"/>
      <c r="B72" s="41"/>
      <c r="C72" s="36" t="s">
        <v>32</v>
      </c>
      <c r="D72" s="36"/>
      <c r="E72" s="37" t="s">
        <v>41</v>
      </c>
      <c r="F72" s="37"/>
      <c r="G72" s="5">
        <v>2</v>
      </c>
      <c r="H72" s="5">
        <v>2</v>
      </c>
      <c r="I72" s="11">
        <v>2</v>
      </c>
      <c r="J72" s="5">
        <v>2</v>
      </c>
      <c r="K72" s="11">
        <v>2</v>
      </c>
      <c r="L72" s="5">
        <v>2</v>
      </c>
      <c r="M72" s="11">
        <v>2</v>
      </c>
      <c r="N72" s="11">
        <v>2</v>
      </c>
      <c r="O72" s="11">
        <v>2</v>
      </c>
      <c r="P72" s="11">
        <v>2</v>
      </c>
      <c r="Q72" s="11">
        <v>2</v>
      </c>
      <c r="R72" s="11">
        <v>2</v>
      </c>
      <c r="S72" s="6">
        <v>0</v>
      </c>
      <c r="T72" s="11">
        <v>0</v>
      </c>
      <c r="U72" s="11">
        <v>0</v>
      </c>
      <c r="V72" s="11">
        <v>0</v>
      </c>
      <c r="W72" s="11">
        <v>0</v>
      </c>
    </row>
    <row r="73" spans="1:23" ht="16.5" x14ac:dyDescent="0.25">
      <c r="A73" s="41"/>
      <c r="B73" s="41"/>
      <c r="C73" s="36" t="s">
        <v>33</v>
      </c>
      <c r="D73" s="36"/>
      <c r="E73" s="37" t="s">
        <v>42</v>
      </c>
      <c r="F73" s="37"/>
      <c r="G73" s="5">
        <v>2</v>
      </c>
      <c r="H73" s="5">
        <v>2</v>
      </c>
      <c r="I73" s="11">
        <v>2</v>
      </c>
      <c r="J73" s="5">
        <v>2</v>
      </c>
      <c r="K73" s="11">
        <v>2</v>
      </c>
      <c r="L73" s="11">
        <v>2</v>
      </c>
      <c r="M73" s="11">
        <v>2</v>
      </c>
      <c r="N73" s="11">
        <v>2</v>
      </c>
      <c r="O73" s="11">
        <v>2</v>
      </c>
      <c r="P73" s="11">
        <v>2</v>
      </c>
      <c r="Q73" s="11">
        <v>2</v>
      </c>
      <c r="R73" s="11">
        <v>2</v>
      </c>
      <c r="S73" s="6">
        <v>0</v>
      </c>
      <c r="T73" s="11">
        <v>0</v>
      </c>
      <c r="U73" s="11">
        <v>0</v>
      </c>
      <c r="V73" s="11">
        <v>0</v>
      </c>
      <c r="W73" s="11">
        <v>0</v>
      </c>
    </row>
    <row r="74" spans="1:23" ht="16.5" x14ac:dyDescent="0.25">
      <c r="A74" s="41"/>
      <c r="B74" s="41"/>
      <c r="C74" s="42" t="s">
        <v>34</v>
      </c>
      <c r="D74" s="43"/>
      <c r="E74" s="37" t="s">
        <v>43</v>
      </c>
      <c r="F74" s="37"/>
      <c r="G74" s="5">
        <v>2</v>
      </c>
      <c r="H74" s="5">
        <v>2</v>
      </c>
      <c r="I74" s="11">
        <v>2</v>
      </c>
      <c r="J74" s="5">
        <v>2</v>
      </c>
      <c r="K74" s="11">
        <v>2</v>
      </c>
      <c r="L74" s="5">
        <v>2</v>
      </c>
      <c r="M74" s="11">
        <v>2</v>
      </c>
      <c r="N74" s="11">
        <v>2</v>
      </c>
      <c r="O74" s="11">
        <v>2</v>
      </c>
      <c r="P74" s="11">
        <v>2</v>
      </c>
      <c r="Q74" s="11">
        <v>2</v>
      </c>
      <c r="R74" s="11">
        <v>2</v>
      </c>
      <c r="S74" s="6">
        <v>0</v>
      </c>
      <c r="T74" s="11">
        <v>0</v>
      </c>
      <c r="U74" s="11">
        <v>0</v>
      </c>
      <c r="V74" s="11">
        <v>0</v>
      </c>
      <c r="W74" s="11">
        <v>0</v>
      </c>
    </row>
    <row r="75" spans="1:23" ht="16.5" x14ac:dyDescent="0.25">
      <c r="A75" s="41"/>
      <c r="B75" s="41"/>
      <c r="C75" s="36" t="s">
        <v>35</v>
      </c>
      <c r="D75" s="36"/>
      <c r="E75" s="37" t="s">
        <v>44</v>
      </c>
      <c r="F75" s="37"/>
      <c r="G75" s="5">
        <v>2</v>
      </c>
      <c r="H75" s="5">
        <v>2</v>
      </c>
      <c r="I75" s="11">
        <v>2</v>
      </c>
      <c r="J75" s="5">
        <v>2</v>
      </c>
      <c r="K75" s="11">
        <v>2</v>
      </c>
      <c r="L75" s="11">
        <v>2</v>
      </c>
      <c r="M75" s="11">
        <v>2</v>
      </c>
      <c r="N75" s="11">
        <v>2</v>
      </c>
      <c r="O75" s="11">
        <v>2</v>
      </c>
      <c r="P75" s="11">
        <v>2</v>
      </c>
      <c r="Q75" s="11">
        <v>2</v>
      </c>
      <c r="R75" s="11">
        <v>2</v>
      </c>
      <c r="S75" s="6">
        <v>0</v>
      </c>
      <c r="T75" s="11">
        <v>0</v>
      </c>
      <c r="U75" s="11">
        <v>0</v>
      </c>
      <c r="V75" s="11">
        <v>0</v>
      </c>
      <c r="W75" s="11">
        <v>0</v>
      </c>
    </row>
    <row r="76" spans="1:23" ht="16.5" x14ac:dyDescent="0.25">
      <c r="A76" s="41"/>
      <c r="B76" s="41"/>
      <c r="C76" s="36" t="s">
        <v>139</v>
      </c>
      <c r="D76" s="36"/>
      <c r="E76" s="37" t="s">
        <v>40</v>
      </c>
      <c r="F76" s="37"/>
      <c r="G76" s="5">
        <f>H76+S77</f>
        <v>1</v>
      </c>
      <c r="H76" s="5">
        <v>2</v>
      </c>
      <c r="I76" s="11">
        <v>2</v>
      </c>
      <c r="J76" s="5">
        <v>2</v>
      </c>
      <c r="K76" s="11">
        <v>2</v>
      </c>
      <c r="L76" s="5">
        <v>2</v>
      </c>
      <c r="M76" s="11">
        <v>2</v>
      </c>
      <c r="N76" s="11">
        <v>2</v>
      </c>
      <c r="O76" s="11">
        <v>2</v>
      </c>
      <c r="P76" s="11">
        <v>2</v>
      </c>
      <c r="Q76" s="11">
        <v>2</v>
      </c>
      <c r="R76" s="11">
        <v>2</v>
      </c>
      <c r="S76" s="6">
        <v>0</v>
      </c>
      <c r="T76" s="11">
        <v>0</v>
      </c>
      <c r="U76" s="11">
        <v>0</v>
      </c>
      <c r="V76" s="11">
        <v>0</v>
      </c>
      <c r="W76" s="11">
        <v>0</v>
      </c>
    </row>
    <row r="77" spans="1:23" ht="16.5" x14ac:dyDescent="0.25">
      <c r="A77" s="41"/>
      <c r="B77" s="41"/>
      <c r="C77" s="32"/>
      <c r="D77" s="33"/>
      <c r="E77" s="32"/>
      <c r="F77" s="33"/>
      <c r="G77" s="5"/>
      <c r="H77" s="5"/>
      <c r="I77" s="11"/>
      <c r="J77" s="5"/>
      <c r="K77" s="11"/>
      <c r="L77" s="11"/>
      <c r="M77" s="11"/>
      <c r="N77" s="11"/>
      <c r="O77" s="11"/>
      <c r="P77" s="11"/>
      <c r="Q77" s="11"/>
      <c r="R77" s="11"/>
      <c r="S77" s="14">
        <v>-1</v>
      </c>
      <c r="T77" s="11"/>
      <c r="U77" s="11"/>
      <c r="V77" s="11"/>
      <c r="W77" s="11"/>
    </row>
    <row r="78" spans="1:23" ht="16.5" x14ac:dyDescent="0.25">
      <c r="A78" s="41"/>
      <c r="B78" s="41"/>
      <c r="C78" s="36" t="s">
        <v>36</v>
      </c>
      <c r="D78" s="36"/>
      <c r="E78" s="37" t="s">
        <v>41</v>
      </c>
      <c r="F78" s="37"/>
      <c r="G78" s="5">
        <v>2</v>
      </c>
      <c r="H78" s="5">
        <v>2</v>
      </c>
      <c r="I78" s="11">
        <v>2</v>
      </c>
      <c r="J78" s="5">
        <v>2</v>
      </c>
      <c r="K78" s="11">
        <v>2</v>
      </c>
      <c r="L78" s="5">
        <v>2</v>
      </c>
      <c r="M78" s="11">
        <v>2</v>
      </c>
      <c r="N78" s="11">
        <v>2</v>
      </c>
      <c r="O78" s="11">
        <v>2</v>
      </c>
      <c r="P78" s="11">
        <v>2</v>
      </c>
      <c r="Q78" s="11">
        <v>2</v>
      </c>
      <c r="R78" s="11">
        <v>2</v>
      </c>
      <c r="S78" s="6">
        <v>0</v>
      </c>
      <c r="T78" s="11">
        <v>0</v>
      </c>
      <c r="U78" s="11">
        <v>0</v>
      </c>
      <c r="V78" s="11">
        <v>0</v>
      </c>
      <c r="W78" s="11">
        <v>0</v>
      </c>
    </row>
    <row r="79" spans="1:23" ht="16.5" x14ac:dyDescent="0.25">
      <c r="A79" s="41"/>
      <c r="B79" s="41"/>
      <c r="C79" s="42" t="s">
        <v>37</v>
      </c>
      <c r="D79" s="43"/>
      <c r="E79" s="37" t="s">
        <v>42</v>
      </c>
      <c r="F79" s="37"/>
      <c r="G79" s="5">
        <v>2</v>
      </c>
      <c r="H79" s="5">
        <v>2</v>
      </c>
      <c r="I79" s="11">
        <v>2</v>
      </c>
      <c r="J79" s="5">
        <v>2</v>
      </c>
      <c r="K79" s="11">
        <v>2</v>
      </c>
      <c r="L79" s="11">
        <v>2</v>
      </c>
      <c r="M79" s="11">
        <v>2</v>
      </c>
      <c r="N79" s="11">
        <v>2</v>
      </c>
      <c r="O79" s="11">
        <v>2</v>
      </c>
      <c r="P79" s="11">
        <v>2</v>
      </c>
      <c r="Q79" s="11">
        <v>2</v>
      </c>
      <c r="R79" s="11">
        <v>2</v>
      </c>
      <c r="S79" s="6">
        <v>0</v>
      </c>
      <c r="T79" s="11">
        <v>0</v>
      </c>
      <c r="U79" s="11">
        <v>0</v>
      </c>
      <c r="V79" s="11">
        <v>0</v>
      </c>
      <c r="W79" s="11">
        <v>0</v>
      </c>
    </row>
    <row r="80" spans="1:23" ht="16.5" x14ac:dyDescent="0.25">
      <c r="A80" s="41"/>
      <c r="B80" s="41"/>
      <c r="C80" s="42" t="s">
        <v>38</v>
      </c>
      <c r="D80" s="43"/>
      <c r="E80" s="37" t="s">
        <v>43</v>
      </c>
      <c r="F80" s="37"/>
      <c r="G80" s="5">
        <v>2</v>
      </c>
      <c r="H80" s="5">
        <v>2</v>
      </c>
      <c r="I80" s="11">
        <v>2</v>
      </c>
      <c r="J80" s="5">
        <v>2</v>
      </c>
      <c r="K80" s="11">
        <v>2</v>
      </c>
      <c r="L80" s="5">
        <v>2</v>
      </c>
      <c r="M80" s="11">
        <v>2</v>
      </c>
      <c r="N80" s="11">
        <v>2</v>
      </c>
      <c r="O80" s="11">
        <v>2</v>
      </c>
      <c r="P80" s="11">
        <v>2</v>
      </c>
      <c r="Q80" s="11">
        <v>2</v>
      </c>
      <c r="R80" s="11">
        <v>2</v>
      </c>
      <c r="S80" s="6">
        <v>0</v>
      </c>
      <c r="T80" s="11">
        <v>0</v>
      </c>
      <c r="U80" s="11">
        <v>0</v>
      </c>
      <c r="V80" s="11">
        <v>0</v>
      </c>
      <c r="W80" s="11">
        <v>0</v>
      </c>
    </row>
    <row r="81" spans="1:23" ht="16.5" x14ac:dyDescent="0.25">
      <c r="A81" s="41"/>
      <c r="B81" s="41"/>
      <c r="C81" s="42" t="s">
        <v>39</v>
      </c>
      <c r="D81" s="43"/>
      <c r="E81" s="37" t="s">
        <v>44</v>
      </c>
      <c r="F81" s="37"/>
      <c r="G81" s="5">
        <v>2</v>
      </c>
      <c r="H81" s="5">
        <v>2</v>
      </c>
      <c r="I81" s="11">
        <v>2</v>
      </c>
      <c r="J81" s="5">
        <v>2</v>
      </c>
      <c r="K81" s="11">
        <v>2</v>
      </c>
      <c r="L81" s="11">
        <v>2</v>
      </c>
      <c r="M81" s="11">
        <v>2</v>
      </c>
      <c r="N81" s="11">
        <v>2</v>
      </c>
      <c r="O81" s="11">
        <v>2</v>
      </c>
      <c r="P81" s="11">
        <v>2</v>
      </c>
      <c r="Q81" s="11">
        <v>2</v>
      </c>
      <c r="R81" s="11">
        <v>2</v>
      </c>
      <c r="S81" s="6">
        <v>0</v>
      </c>
      <c r="T81" s="11">
        <v>0</v>
      </c>
      <c r="U81" s="11">
        <v>0</v>
      </c>
      <c r="V81" s="11">
        <v>0</v>
      </c>
      <c r="W81" s="11">
        <v>0</v>
      </c>
    </row>
    <row r="82" spans="1:23" ht="16.5" x14ac:dyDescent="0.25">
      <c r="A82" s="41"/>
      <c r="B82" s="41" t="s">
        <v>26</v>
      </c>
      <c r="C82" s="36" t="s">
        <v>31</v>
      </c>
      <c r="D82" s="36"/>
      <c r="E82" s="37" t="s">
        <v>44</v>
      </c>
      <c r="F82" s="37"/>
      <c r="G82" s="5">
        <v>2</v>
      </c>
      <c r="H82" s="5">
        <v>2</v>
      </c>
      <c r="I82" s="11">
        <v>2</v>
      </c>
      <c r="J82" s="5">
        <v>2</v>
      </c>
      <c r="K82" s="11">
        <v>2</v>
      </c>
      <c r="L82" s="5">
        <v>2</v>
      </c>
      <c r="M82" s="11">
        <v>2</v>
      </c>
      <c r="N82" s="11">
        <v>2</v>
      </c>
      <c r="O82" s="11">
        <v>2</v>
      </c>
      <c r="P82" s="11">
        <v>2</v>
      </c>
      <c r="Q82" s="11">
        <v>2</v>
      </c>
      <c r="R82" s="11">
        <v>2</v>
      </c>
      <c r="S82" s="11">
        <v>2</v>
      </c>
      <c r="T82" s="6">
        <v>0</v>
      </c>
      <c r="U82" s="11">
        <v>0</v>
      </c>
      <c r="V82" s="11">
        <v>0</v>
      </c>
      <c r="W82" s="11">
        <v>0</v>
      </c>
    </row>
    <row r="83" spans="1:23" ht="16.5" x14ac:dyDescent="0.25">
      <c r="A83" s="41"/>
      <c r="B83" s="41"/>
      <c r="C83" s="36" t="s">
        <v>32</v>
      </c>
      <c r="D83" s="36"/>
      <c r="E83" s="37" t="s">
        <v>40</v>
      </c>
      <c r="F83" s="37"/>
      <c r="G83" s="5">
        <v>2</v>
      </c>
      <c r="H83" s="5">
        <v>2</v>
      </c>
      <c r="I83" s="11">
        <v>2</v>
      </c>
      <c r="J83" s="5">
        <v>2</v>
      </c>
      <c r="K83" s="11">
        <v>2</v>
      </c>
      <c r="L83" s="11">
        <v>2</v>
      </c>
      <c r="M83" s="11">
        <v>2</v>
      </c>
      <c r="N83" s="11">
        <v>2</v>
      </c>
      <c r="O83" s="11">
        <v>2</v>
      </c>
      <c r="P83" s="11">
        <v>2</v>
      </c>
      <c r="Q83" s="11">
        <v>2</v>
      </c>
      <c r="R83" s="11">
        <v>2</v>
      </c>
      <c r="S83" s="11">
        <v>2</v>
      </c>
      <c r="T83" s="6">
        <v>0</v>
      </c>
      <c r="U83" s="11">
        <v>0</v>
      </c>
      <c r="V83" s="11">
        <v>0</v>
      </c>
      <c r="W83" s="11">
        <v>0</v>
      </c>
    </row>
    <row r="84" spans="1:23" ht="16.5" x14ac:dyDescent="0.25">
      <c r="A84" s="41"/>
      <c r="B84" s="41"/>
      <c r="C84" s="36" t="s">
        <v>33</v>
      </c>
      <c r="D84" s="36"/>
      <c r="E84" s="37" t="s">
        <v>41</v>
      </c>
      <c r="F84" s="37"/>
      <c r="G84" s="5">
        <v>2</v>
      </c>
      <c r="H84" s="5">
        <v>2</v>
      </c>
      <c r="I84" s="11">
        <v>2</v>
      </c>
      <c r="J84" s="5">
        <v>2</v>
      </c>
      <c r="K84" s="11">
        <v>2</v>
      </c>
      <c r="L84" s="5">
        <v>2</v>
      </c>
      <c r="M84" s="11">
        <v>2</v>
      </c>
      <c r="N84" s="11">
        <v>2</v>
      </c>
      <c r="O84" s="11">
        <v>2</v>
      </c>
      <c r="P84" s="11">
        <v>2</v>
      </c>
      <c r="Q84" s="11">
        <v>2</v>
      </c>
      <c r="R84" s="11">
        <v>2</v>
      </c>
      <c r="S84" s="11">
        <v>2</v>
      </c>
      <c r="T84" s="6">
        <v>0</v>
      </c>
      <c r="U84" s="11">
        <v>0</v>
      </c>
      <c r="V84" s="11">
        <v>0</v>
      </c>
      <c r="W84" s="11">
        <v>0</v>
      </c>
    </row>
    <row r="85" spans="1:23" ht="16.5" x14ac:dyDescent="0.25">
      <c r="A85" s="41"/>
      <c r="B85" s="41"/>
      <c r="C85" s="42" t="s">
        <v>34</v>
      </c>
      <c r="D85" s="43"/>
      <c r="E85" s="37" t="s">
        <v>42</v>
      </c>
      <c r="F85" s="37"/>
      <c r="G85" s="5">
        <v>2</v>
      </c>
      <c r="H85" s="5">
        <v>2</v>
      </c>
      <c r="I85" s="11">
        <v>2</v>
      </c>
      <c r="J85" s="5">
        <v>2</v>
      </c>
      <c r="K85" s="11">
        <v>2</v>
      </c>
      <c r="L85" s="11">
        <v>2</v>
      </c>
      <c r="M85" s="11">
        <v>2</v>
      </c>
      <c r="N85" s="11">
        <v>2</v>
      </c>
      <c r="O85" s="11">
        <v>2</v>
      </c>
      <c r="P85" s="11">
        <v>2</v>
      </c>
      <c r="Q85" s="11">
        <v>2</v>
      </c>
      <c r="R85" s="11">
        <v>2</v>
      </c>
      <c r="S85" s="11">
        <v>2</v>
      </c>
      <c r="T85" s="6">
        <v>0</v>
      </c>
      <c r="U85" s="11">
        <v>0</v>
      </c>
      <c r="V85" s="11">
        <v>0</v>
      </c>
      <c r="W85" s="11">
        <v>0</v>
      </c>
    </row>
    <row r="86" spans="1:23" ht="16.5" x14ac:dyDescent="0.25">
      <c r="A86" s="41"/>
      <c r="B86" s="41"/>
      <c r="C86" s="36" t="s">
        <v>35</v>
      </c>
      <c r="D86" s="36"/>
      <c r="E86" s="37" t="s">
        <v>43</v>
      </c>
      <c r="F86" s="37"/>
      <c r="G86" s="5">
        <v>2</v>
      </c>
      <c r="H86" s="5">
        <v>2</v>
      </c>
      <c r="I86" s="11">
        <v>2</v>
      </c>
      <c r="J86" s="5">
        <v>2</v>
      </c>
      <c r="K86" s="11">
        <v>2</v>
      </c>
      <c r="L86" s="5">
        <v>2</v>
      </c>
      <c r="M86" s="11">
        <v>2</v>
      </c>
      <c r="N86" s="11">
        <v>2</v>
      </c>
      <c r="O86" s="11">
        <v>2</v>
      </c>
      <c r="P86" s="11">
        <v>2</v>
      </c>
      <c r="Q86" s="11">
        <v>2</v>
      </c>
      <c r="R86" s="11">
        <v>2</v>
      </c>
      <c r="S86" s="11">
        <v>2</v>
      </c>
      <c r="T86" s="6">
        <v>0</v>
      </c>
      <c r="U86" s="11">
        <v>0</v>
      </c>
      <c r="V86" s="11">
        <v>0</v>
      </c>
      <c r="W86" s="11">
        <v>0</v>
      </c>
    </row>
    <row r="87" spans="1:23" ht="16.5" x14ac:dyDescent="0.25">
      <c r="A87" s="41"/>
      <c r="B87" s="41"/>
      <c r="C87" s="36" t="s">
        <v>139</v>
      </c>
      <c r="D87" s="36"/>
      <c r="E87" s="37" t="s">
        <v>44</v>
      </c>
      <c r="F87" s="37"/>
      <c r="G87" s="5">
        <v>2</v>
      </c>
      <c r="H87" s="5">
        <v>2</v>
      </c>
      <c r="I87" s="11">
        <v>2</v>
      </c>
      <c r="J87" s="5">
        <v>2</v>
      </c>
      <c r="K87" s="11">
        <v>2</v>
      </c>
      <c r="L87" s="11">
        <v>2</v>
      </c>
      <c r="M87" s="11">
        <v>2</v>
      </c>
      <c r="N87" s="11">
        <v>2</v>
      </c>
      <c r="O87" s="11">
        <v>2</v>
      </c>
      <c r="P87" s="11">
        <v>2</v>
      </c>
      <c r="Q87" s="11">
        <v>2</v>
      </c>
      <c r="R87" s="11">
        <v>2</v>
      </c>
      <c r="S87" s="11">
        <v>2</v>
      </c>
      <c r="T87" s="6">
        <v>0</v>
      </c>
      <c r="U87" s="11">
        <v>0</v>
      </c>
      <c r="V87" s="11">
        <v>0</v>
      </c>
      <c r="W87" s="11">
        <v>0</v>
      </c>
    </row>
    <row r="88" spans="1:23" ht="16.5" x14ac:dyDescent="0.25">
      <c r="A88" s="41"/>
      <c r="B88" s="41"/>
      <c r="C88" s="36" t="s">
        <v>36</v>
      </c>
      <c r="D88" s="36"/>
      <c r="E88" s="37" t="s">
        <v>40</v>
      </c>
      <c r="F88" s="37"/>
      <c r="G88" s="5">
        <v>2</v>
      </c>
      <c r="H88" s="5">
        <v>2</v>
      </c>
      <c r="I88" s="11">
        <v>2</v>
      </c>
      <c r="J88" s="5">
        <v>2</v>
      </c>
      <c r="K88" s="11">
        <v>2</v>
      </c>
      <c r="L88" s="5">
        <v>2</v>
      </c>
      <c r="M88" s="11">
        <v>2</v>
      </c>
      <c r="N88" s="11">
        <v>2</v>
      </c>
      <c r="O88" s="11">
        <v>2</v>
      </c>
      <c r="P88" s="11">
        <v>2</v>
      </c>
      <c r="Q88" s="11">
        <v>2</v>
      </c>
      <c r="R88" s="11">
        <v>2</v>
      </c>
      <c r="S88" s="11">
        <v>2</v>
      </c>
      <c r="T88" s="6">
        <v>0</v>
      </c>
      <c r="U88" s="11">
        <v>0</v>
      </c>
      <c r="V88" s="11">
        <v>0</v>
      </c>
      <c r="W88" s="11">
        <v>0</v>
      </c>
    </row>
    <row r="89" spans="1:23" ht="16.5" x14ac:dyDescent="0.25">
      <c r="A89" s="41"/>
      <c r="B89" s="41"/>
      <c r="C89" s="42" t="s">
        <v>37</v>
      </c>
      <c r="D89" s="43"/>
      <c r="E89" s="37" t="s">
        <v>41</v>
      </c>
      <c r="F89" s="37"/>
      <c r="G89" s="5">
        <v>2</v>
      </c>
      <c r="H89" s="5">
        <v>2</v>
      </c>
      <c r="I89" s="11">
        <v>2</v>
      </c>
      <c r="J89" s="5">
        <v>2</v>
      </c>
      <c r="K89" s="11">
        <v>2</v>
      </c>
      <c r="L89" s="11">
        <v>2</v>
      </c>
      <c r="M89" s="11">
        <v>2</v>
      </c>
      <c r="N89" s="11">
        <v>2</v>
      </c>
      <c r="O89" s="11">
        <v>2</v>
      </c>
      <c r="P89" s="11">
        <v>2</v>
      </c>
      <c r="Q89" s="11">
        <v>2</v>
      </c>
      <c r="R89" s="11">
        <v>2</v>
      </c>
      <c r="S89" s="11">
        <v>2</v>
      </c>
      <c r="T89" s="6">
        <v>0</v>
      </c>
      <c r="U89" s="11">
        <v>0</v>
      </c>
      <c r="V89" s="11">
        <v>0</v>
      </c>
      <c r="W89" s="11">
        <v>0</v>
      </c>
    </row>
    <row r="90" spans="1:23" ht="16.5" x14ac:dyDescent="0.25">
      <c r="A90" s="41"/>
      <c r="B90" s="41"/>
      <c r="C90" s="42" t="s">
        <v>38</v>
      </c>
      <c r="D90" s="43"/>
      <c r="E90" s="37" t="s">
        <v>42</v>
      </c>
      <c r="F90" s="37"/>
      <c r="G90" s="5">
        <v>2</v>
      </c>
      <c r="H90" s="5">
        <v>2</v>
      </c>
      <c r="I90" s="11">
        <v>2</v>
      </c>
      <c r="J90" s="5">
        <v>2</v>
      </c>
      <c r="K90" s="11">
        <v>2</v>
      </c>
      <c r="L90" s="5">
        <v>2</v>
      </c>
      <c r="M90" s="11">
        <v>2</v>
      </c>
      <c r="N90" s="11">
        <v>2</v>
      </c>
      <c r="O90" s="11">
        <v>2</v>
      </c>
      <c r="P90" s="11">
        <v>2</v>
      </c>
      <c r="Q90" s="11">
        <v>2</v>
      </c>
      <c r="R90" s="11">
        <v>2</v>
      </c>
      <c r="S90" s="11">
        <v>2</v>
      </c>
      <c r="T90" s="6">
        <v>0</v>
      </c>
      <c r="U90" s="11">
        <v>0</v>
      </c>
      <c r="V90" s="11">
        <v>0</v>
      </c>
      <c r="W90" s="11">
        <v>0</v>
      </c>
    </row>
    <row r="91" spans="1:23" ht="16.5" x14ac:dyDescent="0.25">
      <c r="A91" s="41"/>
      <c r="B91" s="41"/>
      <c r="C91" s="42" t="s">
        <v>39</v>
      </c>
      <c r="D91" s="43"/>
      <c r="E91" s="37" t="s">
        <v>43</v>
      </c>
      <c r="F91" s="37"/>
      <c r="G91" s="5">
        <v>2</v>
      </c>
      <c r="H91" s="5">
        <v>2</v>
      </c>
      <c r="I91" s="11">
        <v>2</v>
      </c>
      <c r="J91" s="5">
        <v>2</v>
      </c>
      <c r="K91" s="11">
        <v>2</v>
      </c>
      <c r="L91" s="11">
        <v>2</v>
      </c>
      <c r="M91" s="11">
        <v>2</v>
      </c>
      <c r="N91" s="11">
        <v>2</v>
      </c>
      <c r="O91" s="11">
        <v>2</v>
      </c>
      <c r="P91" s="11">
        <v>2</v>
      </c>
      <c r="Q91" s="11">
        <v>2</v>
      </c>
      <c r="R91" s="11">
        <v>2</v>
      </c>
      <c r="S91" s="11">
        <v>2</v>
      </c>
      <c r="T91" s="6">
        <v>0</v>
      </c>
      <c r="U91" s="11">
        <v>0</v>
      </c>
      <c r="V91" s="11">
        <v>0</v>
      </c>
      <c r="W91" s="11">
        <v>0</v>
      </c>
    </row>
    <row r="92" spans="1:23" ht="16.5" x14ac:dyDescent="0.25">
      <c r="A92" s="41"/>
      <c r="B92" s="41" t="s">
        <v>27</v>
      </c>
      <c r="C92" s="36" t="s">
        <v>31</v>
      </c>
      <c r="D92" s="36"/>
      <c r="E92" s="37" t="s">
        <v>42</v>
      </c>
      <c r="F92" s="37"/>
      <c r="G92" s="5">
        <v>2</v>
      </c>
      <c r="H92" s="5">
        <v>2</v>
      </c>
      <c r="I92" s="11">
        <v>2</v>
      </c>
      <c r="J92" s="5">
        <v>2</v>
      </c>
      <c r="K92" s="11">
        <v>2</v>
      </c>
      <c r="L92" s="5">
        <v>2</v>
      </c>
      <c r="M92" s="11">
        <v>2</v>
      </c>
      <c r="N92" s="11">
        <v>2</v>
      </c>
      <c r="O92" s="11">
        <v>2</v>
      </c>
      <c r="P92" s="11">
        <v>2</v>
      </c>
      <c r="Q92" s="11">
        <v>2</v>
      </c>
      <c r="R92" s="11">
        <v>2</v>
      </c>
      <c r="S92" s="11">
        <v>2</v>
      </c>
      <c r="T92" s="11">
        <v>2</v>
      </c>
      <c r="U92" s="6">
        <v>0</v>
      </c>
      <c r="V92" s="11">
        <v>0</v>
      </c>
      <c r="W92" s="11">
        <v>0</v>
      </c>
    </row>
    <row r="93" spans="1:23" ht="16.5" x14ac:dyDescent="0.25">
      <c r="A93" s="41"/>
      <c r="B93" s="41"/>
      <c r="C93" s="36" t="s">
        <v>32</v>
      </c>
      <c r="D93" s="36"/>
      <c r="E93" s="37" t="s">
        <v>43</v>
      </c>
      <c r="F93" s="37"/>
      <c r="G93" s="5">
        <v>2</v>
      </c>
      <c r="H93" s="5">
        <v>2</v>
      </c>
      <c r="I93" s="11">
        <v>2</v>
      </c>
      <c r="J93" s="5">
        <v>2</v>
      </c>
      <c r="K93" s="11">
        <v>2</v>
      </c>
      <c r="L93" s="11">
        <v>2</v>
      </c>
      <c r="M93" s="11">
        <v>2</v>
      </c>
      <c r="N93" s="11">
        <v>2</v>
      </c>
      <c r="O93" s="11">
        <v>2</v>
      </c>
      <c r="P93" s="11">
        <v>2</v>
      </c>
      <c r="Q93" s="11">
        <v>2</v>
      </c>
      <c r="R93" s="11">
        <v>2</v>
      </c>
      <c r="S93" s="11">
        <v>2</v>
      </c>
      <c r="T93" s="11">
        <v>2</v>
      </c>
      <c r="U93" s="6">
        <v>0</v>
      </c>
      <c r="V93" s="11">
        <v>0</v>
      </c>
      <c r="W93" s="11">
        <v>0</v>
      </c>
    </row>
    <row r="94" spans="1:23" ht="16.5" x14ac:dyDescent="0.25">
      <c r="A94" s="41"/>
      <c r="B94" s="41"/>
      <c r="C94" s="36" t="s">
        <v>33</v>
      </c>
      <c r="D94" s="36"/>
      <c r="E94" s="37" t="s">
        <v>44</v>
      </c>
      <c r="F94" s="37"/>
      <c r="G94" s="5">
        <v>2</v>
      </c>
      <c r="H94" s="5">
        <v>2</v>
      </c>
      <c r="I94" s="11">
        <v>2</v>
      </c>
      <c r="J94" s="5">
        <v>2</v>
      </c>
      <c r="K94" s="11">
        <v>2</v>
      </c>
      <c r="L94" s="5">
        <v>2</v>
      </c>
      <c r="M94" s="11">
        <v>2</v>
      </c>
      <c r="N94" s="11">
        <v>2</v>
      </c>
      <c r="O94" s="11">
        <v>2</v>
      </c>
      <c r="P94" s="11">
        <v>2</v>
      </c>
      <c r="Q94" s="11">
        <v>2</v>
      </c>
      <c r="R94" s="11">
        <v>2</v>
      </c>
      <c r="S94" s="11">
        <v>2</v>
      </c>
      <c r="T94" s="11">
        <v>2</v>
      </c>
      <c r="U94" s="6">
        <v>0</v>
      </c>
      <c r="V94" s="11">
        <v>0</v>
      </c>
      <c r="W94" s="11">
        <v>0</v>
      </c>
    </row>
    <row r="95" spans="1:23" ht="16.5" x14ac:dyDescent="0.25">
      <c r="A95" s="41"/>
      <c r="B95" s="41"/>
      <c r="C95" s="42" t="s">
        <v>34</v>
      </c>
      <c r="D95" s="43"/>
      <c r="E95" s="37" t="s">
        <v>40</v>
      </c>
      <c r="F95" s="37"/>
      <c r="G95" s="5">
        <v>2</v>
      </c>
      <c r="H95" s="5">
        <v>2</v>
      </c>
      <c r="I95" s="11">
        <v>2</v>
      </c>
      <c r="J95" s="5">
        <v>2</v>
      </c>
      <c r="K95" s="11">
        <v>2</v>
      </c>
      <c r="L95" s="11">
        <v>2</v>
      </c>
      <c r="M95" s="11">
        <v>2</v>
      </c>
      <c r="N95" s="11">
        <v>2</v>
      </c>
      <c r="O95" s="11">
        <v>2</v>
      </c>
      <c r="P95" s="11">
        <v>2</v>
      </c>
      <c r="Q95" s="11">
        <v>2</v>
      </c>
      <c r="R95" s="11">
        <v>2</v>
      </c>
      <c r="S95" s="11">
        <v>2</v>
      </c>
      <c r="T95" s="11">
        <v>2</v>
      </c>
      <c r="U95" s="6">
        <v>0</v>
      </c>
      <c r="V95" s="11">
        <v>0</v>
      </c>
      <c r="W95" s="11">
        <v>0</v>
      </c>
    </row>
    <row r="96" spans="1:23" ht="16.5" x14ac:dyDescent="0.25">
      <c r="A96" s="41"/>
      <c r="B96" s="41"/>
      <c r="C96" s="36" t="s">
        <v>35</v>
      </c>
      <c r="D96" s="36"/>
      <c r="E96" s="37" t="s">
        <v>41</v>
      </c>
      <c r="F96" s="37"/>
      <c r="G96" s="5">
        <v>2</v>
      </c>
      <c r="H96" s="5">
        <v>2</v>
      </c>
      <c r="I96" s="11">
        <v>2</v>
      </c>
      <c r="J96" s="5">
        <v>2</v>
      </c>
      <c r="K96" s="11">
        <v>2</v>
      </c>
      <c r="L96" s="5">
        <v>2</v>
      </c>
      <c r="M96" s="11">
        <v>2</v>
      </c>
      <c r="N96" s="11">
        <v>2</v>
      </c>
      <c r="O96" s="11">
        <v>2</v>
      </c>
      <c r="P96" s="11">
        <v>2</v>
      </c>
      <c r="Q96" s="11">
        <v>2</v>
      </c>
      <c r="R96" s="11">
        <v>2</v>
      </c>
      <c r="S96" s="11">
        <v>2</v>
      </c>
      <c r="T96" s="11">
        <v>2</v>
      </c>
      <c r="U96" s="6">
        <v>0</v>
      </c>
      <c r="V96" s="11">
        <v>0</v>
      </c>
      <c r="W96" s="11">
        <v>0</v>
      </c>
    </row>
    <row r="97" spans="1:23" ht="16.5" x14ac:dyDescent="0.25">
      <c r="A97" s="41"/>
      <c r="B97" s="41"/>
      <c r="C97" s="36" t="s">
        <v>139</v>
      </c>
      <c r="D97" s="36"/>
      <c r="E97" s="37" t="s">
        <v>42</v>
      </c>
      <c r="F97" s="37"/>
      <c r="G97" s="5">
        <v>2</v>
      </c>
      <c r="H97" s="5">
        <v>2</v>
      </c>
      <c r="I97" s="11">
        <v>2</v>
      </c>
      <c r="J97" s="5">
        <v>2</v>
      </c>
      <c r="K97" s="11">
        <v>2</v>
      </c>
      <c r="L97" s="11">
        <v>2</v>
      </c>
      <c r="M97" s="11">
        <v>2</v>
      </c>
      <c r="N97" s="11">
        <v>2</v>
      </c>
      <c r="O97" s="11">
        <v>2</v>
      </c>
      <c r="P97" s="11">
        <v>2</v>
      </c>
      <c r="Q97" s="11">
        <v>2</v>
      </c>
      <c r="R97" s="11">
        <v>2</v>
      </c>
      <c r="S97" s="11">
        <v>2</v>
      </c>
      <c r="T97" s="11">
        <v>2</v>
      </c>
      <c r="U97" s="6">
        <v>0</v>
      </c>
      <c r="V97" s="11">
        <v>0</v>
      </c>
      <c r="W97" s="11">
        <v>0</v>
      </c>
    </row>
    <row r="98" spans="1:23" ht="16.5" x14ac:dyDescent="0.25">
      <c r="A98" s="41"/>
      <c r="B98" s="41"/>
      <c r="C98" s="36" t="s">
        <v>36</v>
      </c>
      <c r="D98" s="36"/>
      <c r="E98" s="37" t="s">
        <v>43</v>
      </c>
      <c r="F98" s="37"/>
      <c r="G98" s="5">
        <v>2</v>
      </c>
      <c r="H98" s="5">
        <v>2</v>
      </c>
      <c r="I98" s="11">
        <v>2</v>
      </c>
      <c r="J98" s="5">
        <v>2</v>
      </c>
      <c r="K98" s="11">
        <v>2</v>
      </c>
      <c r="L98" s="5">
        <v>2</v>
      </c>
      <c r="M98" s="11">
        <v>2</v>
      </c>
      <c r="N98" s="11">
        <v>2</v>
      </c>
      <c r="O98" s="11">
        <v>2</v>
      </c>
      <c r="P98" s="11">
        <v>2</v>
      </c>
      <c r="Q98" s="11">
        <v>2</v>
      </c>
      <c r="R98" s="11">
        <v>2</v>
      </c>
      <c r="S98" s="11">
        <v>2</v>
      </c>
      <c r="T98" s="11">
        <v>2</v>
      </c>
      <c r="U98" s="6">
        <v>0</v>
      </c>
      <c r="V98" s="11">
        <v>0</v>
      </c>
      <c r="W98" s="11">
        <v>0</v>
      </c>
    </row>
    <row r="99" spans="1:23" ht="16.5" x14ac:dyDescent="0.25">
      <c r="A99" s="41"/>
      <c r="B99" s="41"/>
      <c r="C99" s="42" t="s">
        <v>37</v>
      </c>
      <c r="D99" s="43"/>
      <c r="E99" s="37" t="s">
        <v>44</v>
      </c>
      <c r="F99" s="37"/>
      <c r="G99" s="5">
        <v>2</v>
      </c>
      <c r="H99" s="5">
        <v>2</v>
      </c>
      <c r="I99" s="11">
        <v>2</v>
      </c>
      <c r="J99" s="5">
        <v>2</v>
      </c>
      <c r="K99" s="11">
        <v>2</v>
      </c>
      <c r="L99" s="11">
        <v>2</v>
      </c>
      <c r="M99" s="11">
        <v>2</v>
      </c>
      <c r="N99" s="11">
        <v>2</v>
      </c>
      <c r="O99" s="11">
        <v>2</v>
      </c>
      <c r="P99" s="11">
        <v>2</v>
      </c>
      <c r="Q99" s="11">
        <v>2</v>
      </c>
      <c r="R99" s="11">
        <v>2</v>
      </c>
      <c r="S99" s="11">
        <v>2</v>
      </c>
      <c r="T99" s="11">
        <v>2</v>
      </c>
      <c r="U99" s="6">
        <v>0</v>
      </c>
      <c r="V99" s="11">
        <v>0</v>
      </c>
      <c r="W99" s="11">
        <v>0</v>
      </c>
    </row>
    <row r="100" spans="1:23" ht="16.5" x14ac:dyDescent="0.25">
      <c r="A100" s="41"/>
      <c r="B100" s="41"/>
      <c r="C100" s="42" t="s">
        <v>38</v>
      </c>
      <c r="D100" s="43"/>
      <c r="E100" s="37" t="s">
        <v>40</v>
      </c>
      <c r="F100" s="37"/>
      <c r="G100" s="5">
        <v>2</v>
      </c>
      <c r="H100" s="5">
        <v>2</v>
      </c>
      <c r="I100" s="11">
        <v>2</v>
      </c>
      <c r="J100" s="5">
        <v>2</v>
      </c>
      <c r="K100" s="11">
        <v>2</v>
      </c>
      <c r="L100" s="5">
        <v>2</v>
      </c>
      <c r="M100" s="11">
        <v>2</v>
      </c>
      <c r="N100" s="11">
        <v>2</v>
      </c>
      <c r="O100" s="11">
        <v>2</v>
      </c>
      <c r="P100" s="11">
        <v>2</v>
      </c>
      <c r="Q100" s="11">
        <v>2</v>
      </c>
      <c r="R100" s="11">
        <v>2</v>
      </c>
      <c r="S100" s="11">
        <v>2</v>
      </c>
      <c r="T100" s="11">
        <v>2</v>
      </c>
      <c r="U100" s="6">
        <v>0</v>
      </c>
      <c r="V100" s="11">
        <v>0</v>
      </c>
      <c r="W100" s="11">
        <v>0</v>
      </c>
    </row>
    <row r="101" spans="1:23" ht="16.5" x14ac:dyDescent="0.25">
      <c r="A101" s="41"/>
      <c r="B101" s="41"/>
      <c r="C101" s="42" t="s">
        <v>39</v>
      </c>
      <c r="D101" s="43"/>
      <c r="E101" s="37" t="s">
        <v>41</v>
      </c>
      <c r="F101" s="37"/>
      <c r="G101" s="5">
        <v>2</v>
      </c>
      <c r="H101" s="5">
        <v>2</v>
      </c>
      <c r="I101" s="11">
        <v>2</v>
      </c>
      <c r="J101" s="5">
        <v>2</v>
      </c>
      <c r="K101" s="11">
        <v>2</v>
      </c>
      <c r="L101" s="11">
        <v>2</v>
      </c>
      <c r="M101" s="11">
        <v>2</v>
      </c>
      <c r="N101" s="11">
        <v>2</v>
      </c>
      <c r="O101" s="11">
        <v>2</v>
      </c>
      <c r="P101" s="11">
        <v>2</v>
      </c>
      <c r="Q101" s="11">
        <v>2</v>
      </c>
      <c r="R101" s="11">
        <v>2</v>
      </c>
      <c r="S101" s="11">
        <v>2</v>
      </c>
      <c r="T101" s="11">
        <v>2</v>
      </c>
      <c r="U101" s="6">
        <v>0</v>
      </c>
      <c r="V101" s="11">
        <v>0</v>
      </c>
      <c r="W101" s="11">
        <v>0</v>
      </c>
    </row>
    <row r="102" spans="1:23" ht="16.5" customHeight="1" x14ac:dyDescent="0.25">
      <c r="A102" s="41"/>
      <c r="B102" s="38" t="s">
        <v>28</v>
      </c>
      <c r="C102" s="36" t="s">
        <v>29</v>
      </c>
      <c r="D102" s="36"/>
      <c r="E102" s="44" t="s">
        <v>19</v>
      </c>
      <c r="F102" s="44"/>
      <c r="G102" s="5">
        <f>H102+V103</f>
        <v>5</v>
      </c>
      <c r="H102" s="5">
        <v>10</v>
      </c>
      <c r="I102" s="5">
        <v>10</v>
      </c>
      <c r="J102" s="5">
        <v>10</v>
      </c>
      <c r="K102" s="5">
        <v>10</v>
      </c>
      <c r="L102" s="5">
        <v>10</v>
      </c>
      <c r="M102" s="5">
        <v>10</v>
      </c>
      <c r="N102" s="5">
        <v>10</v>
      </c>
      <c r="O102" s="5">
        <v>10</v>
      </c>
      <c r="P102" s="5">
        <v>10</v>
      </c>
      <c r="Q102" s="5">
        <v>10</v>
      </c>
      <c r="R102" s="5">
        <v>10</v>
      </c>
      <c r="S102" s="5">
        <v>10</v>
      </c>
      <c r="T102" s="5">
        <v>10</v>
      </c>
      <c r="U102" s="5">
        <v>10</v>
      </c>
      <c r="V102" s="6">
        <v>0</v>
      </c>
      <c r="W102" s="5">
        <v>0</v>
      </c>
    </row>
    <row r="103" spans="1:23" ht="16.5" x14ac:dyDescent="0.25">
      <c r="A103" s="41"/>
      <c r="B103" s="39"/>
      <c r="C103" s="32"/>
      <c r="D103" s="33"/>
      <c r="E103" s="47"/>
      <c r="F103" s="48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4">
        <v>-5</v>
      </c>
      <c r="W103" s="5"/>
    </row>
    <row r="104" spans="1:23" ht="16.5" x14ac:dyDescent="0.25">
      <c r="A104" s="41"/>
      <c r="B104" s="39"/>
      <c r="C104" s="36" t="s">
        <v>30</v>
      </c>
      <c r="D104" s="36"/>
      <c r="E104" s="44" t="s">
        <v>19</v>
      </c>
      <c r="F104" s="44"/>
      <c r="G104" s="5">
        <f>H104</f>
        <v>10</v>
      </c>
      <c r="H104" s="5">
        <v>10</v>
      </c>
      <c r="I104" s="5">
        <v>10</v>
      </c>
      <c r="J104" s="5">
        <v>10</v>
      </c>
      <c r="K104" s="5">
        <v>10</v>
      </c>
      <c r="L104" s="5">
        <v>10</v>
      </c>
      <c r="M104" s="5">
        <v>10</v>
      </c>
      <c r="N104" s="5">
        <v>10</v>
      </c>
      <c r="O104" s="5">
        <v>10</v>
      </c>
      <c r="P104" s="5">
        <v>10</v>
      </c>
      <c r="Q104" s="5">
        <v>10</v>
      </c>
      <c r="R104" s="5">
        <v>10</v>
      </c>
      <c r="S104" s="5">
        <v>10</v>
      </c>
      <c r="T104" s="5">
        <v>10</v>
      </c>
      <c r="U104" s="5">
        <v>10</v>
      </c>
      <c r="V104" s="5">
        <v>10</v>
      </c>
      <c r="W104" s="6">
        <v>0</v>
      </c>
    </row>
    <row r="105" spans="1:23" ht="16.5" x14ac:dyDescent="0.25">
      <c r="A105" s="41"/>
      <c r="B105" s="45" t="s">
        <v>13</v>
      </c>
      <c r="C105" s="45"/>
      <c r="D105" s="45"/>
      <c r="E105" s="46" t="s">
        <v>11</v>
      </c>
      <c r="F105" s="46"/>
      <c r="G105" s="46">
        <f>SUM(G16:G104)</f>
        <v>213</v>
      </c>
      <c r="H105" s="46"/>
      <c r="I105" s="5">
        <f t="shared" ref="I105:W105" si="2">SUM(I16:I104)</f>
        <v>222</v>
      </c>
      <c r="J105" s="5">
        <f t="shared" si="2"/>
        <v>214</v>
      </c>
      <c r="K105" s="5">
        <f t="shared" si="2"/>
        <v>177</v>
      </c>
      <c r="L105" s="5">
        <f t="shared" si="2"/>
        <v>149</v>
      </c>
      <c r="M105" s="5">
        <f t="shared" si="2"/>
        <v>143</v>
      </c>
      <c r="N105" s="5">
        <f t="shared" si="2"/>
        <v>131</v>
      </c>
      <c r="O105" s="5">
        <f t="shared" si="2"/>
        <v>130</v>
      </c>
      <c r="P105" s="5">
        <f t="shared" si="2"/>
        <v>111</v>
      </c>
      <c r="Q105" s="5">
        <f t="shared" si="2"/>
        <v>110</v>
      </c>
      <c r="R105" s="5">
        <f t="shared" si="2"/>
        <v>81</v>
      </c>
      <c r="S105" s="5">
        <f t="shared" si="2"/>
        <v>58</v>
      </c>
      <c r="T105" s="5">
        <f t="shared" si="2"/>
        <v>40</v>
      </c>
      <c r="U105" s="5">
        <f t="shared" si="2"/>
        <v>20</v>
      </c>
      <c r="V105" s="5">
        <f t="shared" si="2"/>
        <v>5</v>
      </c>
      <c r="W105" s="5">
        <f t="shared" si="2"/>
        <v>0</v>
      </c>
    </row>
    <row r="106" spans="1:23" ht="16.5" x14ac:dyDescent="0.25">
      <c r="A106" s="41"/>
      <c r="B106" s="45"/>
      <c r="C106" s="45"/>
      <c r="D106" s="45"/>
      <c r="E106" s="46" t="s">
        <v>12</v>
      </c>
      <c r="F106" s="46"/>
      <c r="G106" s="46">
        <f>SUM(H16:H104)</f>
        <v>228</v>
      </c>
      <c r="H106" s="46"/>
      <c r="I106" s="5">
        <f>G106-H16</f>
        <v>218</v>
      </c>
      <c r="J106" s="5">
        <f>I106-(H17+H18)</f>
        <v>210</v>
      </c>
      <c r="K106" s="5">
        <f>J106-SUM(H19:H32)</f>
        <v>180</v>
      </c>
      <c r="L106" s="5">
        <f>K106-SUM(H33:H44)</f>
        <v>150</v>
      </c>
      <c r="M106" s="5">
        <f>L106-SUM(H45:H50)</f>
        <v>140</v>
      </c>
      <c r="N106" s="5">
        <f>M106-SUM(H51:H56)</f>
        <v>130</v>
      </c>
      <c r="O106" s="5">
        <f>N106</f>
        <v>130</v>
      </c>
      <c r="P106" s="5">
        <f>O106-SUM(H57:H62)</f>
        <v>110</v>
      </c>
      <c r="Q106" s="5">
        <f>P106</f>
        <v>110</v>
      </c>
      <c r="R106" s="5">
        <f>Q106-SUM(H63:H69)</f>
        <v>80</v>
      </c>
      <c r="S106" s="5">
        <f>R106-SUM(H70:H81)</f>
        <v>60</v>
      </c>
      <c r="T106" s="5">
        <f>S106-SUM(H82:H91)</f>
        <v>40</v>
      </c>
      <c r="U106" s="5">
        <f>T106-SUM(H92:H101)</f>
        <v>20</v>
      </c>
      <c r="V106" s="5">
        <f>U106-SUM(H102:H103)</f>
        <v>10</v>
      </c>
      <c r="W106" s="5">
        <f>V106-SUM(H104:H104)</f>
        <v>0</v>
      </c>
    </row>
  </sheetData>
  <mergeCells count="199">
    <mergeCell ref="A1:B1"/>
    <mergeCell ref="A2:B2"/>
    <mergeCell ref="A3:B3"/>
    <mergeCell ref="A4:B4"/>
    <mergeCell ref="B6:E6"/>
    <mergeCell ref="B13:C13"/>
    <mergeCell ref="C28:D28"/>
    <mergeCell ref="C40:D40"/>
    <mergeCell ref="E28:F28"/>
    <mergeCell ref="E40:F40"/>
    <mergeCell ref="B19:B32"/>
    <mergeCell ref="E24:F24"/>
    <mergeCell ref="C24:D24"/>
    <mergeCell ref="E30:F30"/>
    <mergeCell ref="C30:D30"/>
    <mergeCell ref="C19:D19"/>
    <mergeCell ref="E19:F19"/>
    <mergeCell ref="C20:D20"/>
    <mergeCell ref="E20:F20"/>
    <mergeCell ref="C21:D21"/>
    <mergeCell ref="E21:F21"/>
    <mergeCell ref="C15:D15"/>
    <mergeCell ref="E15:F15"/>
    <mergeCell ref="A16:A106"/>
    <mergeCell ref="B16:D16"/>
    <mergeCell ref="E16:F16"/>
    <mergeCell ref="B17:D17"/>
    <mergeCell ref="E17:F17"/>
    <mergeCell ref="B18:D18"/>
    <mergeCell ref="E18:F18"/>
    <mergeCell ref="E78:F78"/>
    <mergeCell ref="C78:D78"/>
    <mergeCell ref="C76:D76"/>
    <mergeCell ref="E76:F76"/>
    <mergeCell ref="C22:D22"/>
    <mergeCell ref="E22:F22"/>
    <mergeCell ref="C23:D23"/>
    <mergeCell ref="E23:F23"/>
    <mergeCell ref="C25:D25"/>
    <mergeCell ref="E25:F25"/>
    <mergeCell ref="B33:B44"/>
    <mergeCell ref="E42:F42"/>
    <mergeCell ref="E35:F35"/>
    <mergeCell ref="C36:D36"/>
    <mergeCell ref="E36:F36"/>
    <mergeCell ref="C37:D37"/>
    <mergeCell ref="E37:F37"/>
    <mergeCell ref="C38:D38"/>
    <mergeCell ref="C33:D33"/>
    <mergeCell ref="E33:F33"/>
    <mergeCell ref="C34:D34"/>
    <mergeCell ref="E34:F34"/>
    <mergeCell ref="C35:D35"/>
    <mergeCell ref="C39:D39"/>
    <mergeCell ref="E39:F39"/>
    <mergeCell ref="C41:D41"/>
    <mergeCell ref="E41:F41"/>
    <mergeCell ref="E38:F38"/>
    <mergeCell ref="C26:D26"/>
    <mergeCell ref="E26:F26"/>
    <mergeCell ref="C27:D27"/>
    <mergeCell ref="E27:F27"/>
    <mergeCell ref="C29:D29"/>
    <mergeCell ref="E29:F29"/>
    <mergeCell ref="C31:D31"/>
    <mergeCell ref="E31:F31"/>
    <mergeCell ref="C32:D32"/>
    <mergeCell ref="E32:F32"/>
    <mergeCell ref="C43:D43"/>
    <mergeCell ref="E43:F43"/>
    <mergeCell ref="C44:D44"/>
    <mergeCell ref="E44:F44"/>
    <mergeCell ref="C45:D45"/>
    <mergeCell ref="E45:F45"/>
    <mergeCell ref="C46:D46"/>
    <mergeCell ref="E46:F46"/>
    <mergeCell ref="C42:D42"/>
    <mergeCell ref="C48:D48"/>
    <mergeCell ref="E47:F47"/>
    <mergeCell ref="C47:D47"/>
    <mergeCell ref="E53:F53"/>
    <mergeCell ref="C53:D53"/>
    <mergeCell ref="E59:F59"/>
    <mergeCell ref="C59:D59"/>
    <mergeCell ref="E65:F65"/>
    <mergeCell ref="C65:D65"/>
    <mergeCell ref="C58:D58"/>
    <mergeCell ref="E58:F58"/>
    <mergeCell ref="B45:B69"/>
    <mergeCell ref="C52:D52"/>
    <mergeCell ref="E52:F52"/>
    <mergeCell ref="C54:D54"/>
    <mergeCell ref="E54:F54"/>
    <mergeCell ref="C55:D55"/>
    <mergeCell ref="E55:F55"/>
    <mergeCell ref="E48:F48"/>
    <mergeCell ref="C49:D49"/>
    <mergeCell ref="E49:F49"/>
    <mergeCell ref="C50:D50"/>
    <mergeCell ref="E50:F50"/>
    <mergeCell ref="C51:D51"/>
    <mergeCell ref="E51:F51"/>
    <mergeCell ref="C60:D60"/>
    <mergeCell ref="E60:F60"/>
    <mergeCell ref="C61:D61"/>
    <mergeCell ref="E61:F61"/>
    <mergeCell ref="C62:D62"/>
    <mergeCell ref="E62:F62"/>
    <mergeCell ref="C56:D56"/>
    <mergeCell ref="E56:F56"/>
    <mergeCell ref="C57:D57"/>
    <mergeCell ref="E57:F57"/>
    <mergeCell ref="C67:D67"/>
    <mergeCell ref="E67:F67"/>
    <mergeCell ref="C68:D68"/>
    <mergeCell ref="E68:F68"/>
    <mergeCell ref="C63:D63"/>
    <mergeCell ref="E63:F63"/>
    <mergeCell ref="C64:D64"/>
    <mergeCell ref="E64:F64"/>
    <mergeCell ref="C66:D66"/>
    <mergeCell ref="E66:F66"/>
    <mergeCell ref="C90:D90"/>
    <mergeCell ref="E90:F90"/>
    <mergeCell ref="B70:B81"/>
    <mergeCell ref="C70:D70"/>
    <mergeCell ref="E70:F70"/>
    <mergeCell ref="C72:D72"/>
    <mergeCell ref="E72:F72"/>
    <mergeCell ref="C73:D73"/>
    <mergeCell ref="E73:F73"/>
    <mergeCell ref="C74:D74"/>
    <mergeCell ref="E71:F71"/>
    <mergeCell ref="C71:D71"/>
    <mergeCell ref="C77:D77"/>
    <mergeCell ref="E77:F77"/>
    <mergeCell ref="C81:D81"/>
    <mergeCell ref="E81:F81"/>
    <mergeCell ref="C88:D88"/>
    <mergeCell ref="C89:D89"/>
    <mergeCell ref="E88:F88"/>
    <mergeCell ref="E89:F89"/>
    <mergeCell ref="E98:F98"/>
    <mergeCell ref="E99:F99"/>
    <mergeCell ref="E69:F69"/>
    <mergeCell ref="C69:D69"/>
    <mergeCell ref="B82:B91"/>
    <mergeCell ref="C82:D82"/>
    <mergeCell ref="E82:F82"/>
    <mergeCell ref="C83:D83"/>
    <mergeCell ref="E83:F83"/>
    <mergeCell ref="C84:D84"/>
    <mergeCell ref="E84:F84"/>
    <mergeCell ref="C85:D85"/>
    <mergeCell ref="E74:F74"/>
    <mergeCell ref="C75:D75"/>
    <mergeCell ref="E75:F75"/>
    <mergeCell ref="C79:D79"/>
    <mergeCell ref="E79:F79"/>
    <mergeCell ref="C80:D80"/>
    <mergeCell ref="E80:F80"/>
    <mergeCell ref="E85:F85"/>
    <mergeCell ref="C86:D86"/>
    <mergeCell ref="E86:F86"/>
    <mergeCell ref="C87:D87"/>
    <mergeCell ref="E87:F87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B105:D106"/>
    <mergeCell ref="E105:F105"/>
    <mergeCell ref="G105:H105"/>
    <mergeCell ref="E106:F106"/>
    <mergeCell ref="G106:H106"/>
    <mergeCell ref="C101:D101"/>
    <mergeCell ref="E101:F101"/>
    <mergeCell ref="C102:D102"/>
    <mergeCell ref="E102:F102"/>
    <mergeCell ref="C104:D104"/>
    <mergeCell ref="E104:F104"/>
    <mergeCell ref="B92:B101"/>
    <mergeCell ref="C103:D103"/>
    <mergeCell ref="E103:F103"/>
    <mergeCell ref="B102:B104"/>
    <mergeCell ref="E95:F95"/>
    <mergeCell ref="C96:D96"/>
    <mergeCell ref="E96:F96"/>
    <mergeCell ref="C97:D97"/>
    <mergeCell ref="E97:F97"/>
    <mergeCell ref="C100:D100"/>
    <mergeCell ref="E100:F100"/>
    <mergeCell ref="C99:D99"/>
    <mergeCell ref="C98:D9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9"/>
  <sheetViews>
    <sheetView topLeftCell="A19" zoomScale="55" zoomScaleNormal="55" workbookViewId="0">
      <selection activeCell="AF11" sqref="AF11"/>
    </sheetView>
  </sheetViews>
  <sheetFormatPr defaultRowHeight="15" x14ac:dyDescent="0.25"/>
  <cols>
    <col min="2" max="2" width="13.5703125" customWidth="1"/>
    <col min="3" max="3" width="37.5703125" customWidth="1"/>
    <col min="4" max="4" width="24" customWidth="1"/>
    <col min="5" max="5" width="13.85546875" customWidth="1"/>
    <col min="6" max="6" width="12.7109375" customWidth="1"/>
  </cols>
  <sheetData>
    <row r="1" spans="1:23" ht="33" x14ac:dyDescent="0.25">
      <c r="A1" s="34" t="s">
        <v>0</v>
      </c>
      <c r="B1" s="34"/>
      <c r="C1" s="16" t="s">
        <v>132</v>
      </c>
      <c r="D1" s="1"/>
      <c r="E1" s="6"/>
      <c r="F1" s="18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6.5" x14ac:dyDescent="0.25">
      <c r="A2" s="34" t="s">
        <v>2</v>
      </c>
      <c r="B2" s="34"/>
      <c r="C2" s="5" t="s">
        <v>65</v>
      </c>
      <c r="D2" s="1"/>
      <c r="E2" s="12"/>
      <c r="F2" s="19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3" x14ac:dyDescent="0.25">
      <c r="A3" s="34" t="s">
        <v>5</v>
      </c>
      <c r="B3" s="34"/>
      <c r="C3" s="17">
        <f>I15</f>
        <v>46117</v>
      </c>
      <c r="D3" s="1"/>
      <c r="E3" s="21"/>
      <c r="F3" s="20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6.5" x14ac:dyDescent="0.25">
      <c r="A4" s="34" t="s">
        <v>7</v>
      </c>
      <c r="B4" s="34"/>
      <c r="C4" s="17">
        <f>W15</f>
        <v>46131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6.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6.5" x14ac:dyDescent="0.25">
      <c r="A6" s="1"/>
      <c r="B6" s="35" t="s">
        <v>146</v>
      </c>
      <c r="C6" s="35"/>
      <c r="D6" s="35"/>
      <c r="E6" s="3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6.5" x14ac:dyDescent="0.25">
      <c r="A7" s="1"/>
      <c r="B7" s="15" t="s">
        <v>9</v>
      </c>
      <c r="C7" s="15" t="s">
        <v>10</v>
      </c>
      <c r="D7" s="15" t="s">
        <v>11</v>
      </c>
      <c r="E7" s="15" t="s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6.5" x14ac:dyDescent="0.25">
      <c r="A8" s="1"/>
      <c r="B8" s="13">
        <v>1</v>
      </c>
      <c r="C8" s="13" t="s">
        <v>44</v>
      </c>
      <c r="D8" s="5">
        <f>SUMIF(E16:E107,"Đức",G16:G107)+SUMIF(E16:E107,"All team",G16:G107)/5</f>
        <v>46</v>
      </c>
      <c r="E8" s="5">
        <f>SUMIF(E16:E107,"Đức",H16:H107)+SUMIF(E16:E107,"All team",H16:H107)/5</f>
        <v>50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6.5" x14ac:dyDescent="0.25">
      <c r="A9" s="1"/>
      <c r="B9" s="13">
        <v>2</v>
      </c>
      <c r="C9" s="13" t="s">
        <v>42</v>
      </c>
      <c r="D9" s="5">
        <f>SUMIF(E16:E107,"Tiên",G16:G107)+SUMIF(E16:E107,"All team",G16:G107)/5+SUMIF(E16:E107,"Tiên, Vũ",G16:G107)/2</f>
        <v>39</v>
      </c>
      <c r="E9" s="5">
        <f>SUMIF(E16:E107,"Tiên",H16:H107)+SUMIF(E16:E107,"All team",H16:H107)/5+SUMIF(E16:E107,"Tiên, Vũ",H16:H107)/2</f>
        <v>42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6.5" x14ac:dyDescent="0.25">
      <c r="A10" s="1"/>
      <c r="B10" s="13">
        <v>3</v>
      </c>
      <c r="C10" s="13" t="s">
        <v>43</v>
      </c>
      <c r="D10" s="5">
        <f>SUMIF(E16:E107,"Vũ",G16:G107)+SUMIF(E16:E107,"All team",G16:G107)/5+SUMIF(E16:E107,"Tiên, Vũ",G16:G107)/2</f>
        <v>39</v>
      </c>
      <c r="E10" s="5">
        <f>SUMIF(E16:E107,"Vũ",H16:H107)+SUMIF(E16:E107,"All team",H16:H107)/5+SUMIF(E16:E107,"Tiên, Vũ",H16:H107)/2</f>
        <v>42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6.5" x14ac:dyDescent="0.25">
      <c r="A11" s="1"/>
      <c r="B11" s="13">
        <v>4</v>
      </c>
      <c r="C11" s="13" t="s">
        <v>40</v>
      </c>
      <c r="D11" s="5">
        <f>SUMIF(E16:E107,"Nguyên",G16:G107)+SUMIF(E16:E107,"All team",G16:G107)/5+SUMIF(E16:E107,"Nguyên, Nhã",G16:G107)/2</f>
        <v>46</v>
      </c>
      <c r="E11" s="5">
        <f>SUMIF(E16:E107,"Nguyên",H16:H107)+SUMIF(E16:E107,"All team",H16:H107)/5+SUMIF(E16:E107,"Nguyên, Nhã",H16:H107)/2</f>
        <v>48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6.5" x14ac:dyDescent="0.25">
      <c r="A12" s="1"/>
      <c r="B12" s="13">
        <v>5</v>
      </c>
      <c r="C12" s="13" t="s">
        <v>41</v>
      </c>
      <c r="D12" s="5">
        <f>SUMIF(E16:E107,"Nhã",G16:G107)+SUMIF(E16:E107,"All team",G16:G107)/5+SUMIF(E16:E107,"Nguyên, Nhã",G16:G107)/2</f>
        <v>48</v>
      </c>
      <c r="E12" s="5">
        <f>SUMIF(E16:E107,"Nhã",H16:H107)+SUMIF(E16:E107,"All team",H16:H107)/5+SUMIF(E16:E107,"Nguyên, Nhã",H16:H107)/2</f>
        <v>46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6.5" x14ac:dyDescent="0.25">
      <c r="A13" s="1"/>
      <c r="B13" s="35" t="s">
        <v>13</v>
      </c>
      <c r="C13" s="35"/>
      <c r="D13" s="2">
        <f>SUM(D8:D12)</f>
        <v>218</v>
      </c>
      <c r="E13" s="2">
        <f>SUM(E8:E12)</f>
        <v>228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6.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37.5" x14ac:dyDescent="0.25">
      <c r="A15" s="2" t="s">
        <v>14</v>
      </c>
      <c r="B15" s="2" t="s">
        <v>15</v>
      </c>
      <c r="C15" s="35" t="s">
        <v>16</v>
      </c>
      <c r="D15" s="35"/>
      <c r="E15" s="35" t="s">
        <v>17</v>
      </c>
      <c r="F15" s="35"/>
      <c r="G15" s="3" t="s">
        <v>11</v>
      </c>
      <c r="H15" s="3" t="s">
        <v>12</v>
      </c>
      <c r="I15" s="4">
        <v>46117</v>
      </c>
      <c r="J15" s="4">
        <v>46118</v>
      </c>
      <c r="K15" s="4">
        <v>46119</v>
      </c>
      <c r="L15" s="4">
        <v>46120</v>
      </c>
      <c r="M15" s="4">
        <v>46121</v>
      </c>
      <c r="N15" s="4">
        <v>46122</v>
      </c>
      <c r="O15" s="4">
        <v>46123</v>
      </c>
      <c r="P15" s="4">
        <v>46124</v>
      </c>
      <c r="Q15" s="4">
        <v>46125</v>
      </c>
      <c r="R15" s="4">
        <v>46126</v>
      </c>
      <c r="S15" s="4">
        <v>46127</v>
      </c>
      <c r="T15" s="4">
        <v>46128</v>
      </c>
      <c r="U15" s="4">
        <v>46129</v>
      </c>
      <c r="V15" s="4">
        <v>46130</v>
      </c>
      <c r="W15" s="4">
        <v>46131</v>
      </c>
    </row>
    <row r="16" spans="1:23" ht="16.5" x14ac:dyDescent="0.25">
      <c r="A16" s="41" t="s">
        <v>65</v>
      </c>
      <c r="B16" s="36" t="s">
        <v>18</v>
      </c>
      <c r="C16" s="36"/>
      <c r="D16" s="36"/>
      <c r="E16" s="37" t="s">
        <v>19</v>
      </c>
      <c r="F16" s="37"/>
      <c r="G16" s="5">
        <f>H16-I16</f>
        <v>10</v>
      </c>
      <c r="H16" s="5">
        <v>10</v>
      </c>
      <c r="I16" s="6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</row>
    <row r="17" spans="1:23" ht="16.5" x14ac:dyDescent="0.25">
      <c r="A17" s="41"/>
      <c r="B17" s="36" t="s">
        <v>92</v>
      </c>
      <c r="C17" s="36"/>
      <c r="D17" s="36"/>
      <c r="E17" s="37" t="s">
        <v>96</v>
      </c>
      <c r="F17" s="37"/>
      <c r="G17" s="5">
        <v>4</v>
      </c>
      <c r="H17" s="5">
        <v>4</v>
      </c>
      <c r="I17" s="11">
        <v>4</v>
      </c>
      <c r="J17" s="6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</row>
    <row r="18" spans="1:23" ht="16.5" x14ac:dyDescent="0.25">
      <c r="A18" s="41"/>
      <c r="B18" s="36" t="s">
        <v>21</v>
      </c>
      <c r="C18" s="36"/>
      <c r="D18" s="36"/>
      <c r="E18" s="37" t="s">
        <v>97</v>
      </c>
      <c r="F18" s="37"/>
      <c r="G18" s="5">
        <f>H18-K18</f>
        <v>4</v>
      </c>
      <c r="H18" s="5">
        <v>4</v>
      </c>
      <c r="I18" s="11">
        <v>4</v>
      </c>
      <c r="J18" s="6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</row>
    <row r="19" spans="1:23" ht="16.5" x14ac:dyDescent="0.25">
      <c r="A19" s="41"/>
      <c r="B19" s="41" t="s">
        <v>22</v>
      </c>
      <c r="C19" s="36" t="s">
        <v>66</v>
      </c>
      <c r="D19" s="36"/>
      <c r="E19" s="37" t="s">
        <v>42</v>
      </c>
      <c r="F19" s="37"/>
      <c r="G19" s="5">
        <f>H19+K20</f>
        <v>1</v>
      </c>
      <c r="H19" s="5">
        <v>2</v>
      </c>
      <c r="I19" s="5">
        <v>2</v>
      </c>
      <c r="J19" s="5">
        <v>2</v>
      </c>
      <c r="K19" s="6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</row>
    <row r="20" spans="1:23" ht="16.5" x14ac:dyDescent="0.25">
      <c r="A20" s="41"/>
      <c r="B20" s="41"/>
      <c r="C20" s="32"/>
      <c r="D20" s="33"/>
      <c r="E20" s="32"/>
      <c r="F20" s="33"/>
      <c r="G20" s="5"/>
      <c r="H20" s="5"/>
      <c r="I20" s="5"/>
      <c r="J20" s="5"/>
      <c r="K20" s="14">
        <v>-1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ht="16.5" x14ac:dyDescent="0.25">
      <c r="A21" s="41"/>
      <c r="B21" s="41"/>
      <c r="C21" s="36" t="s">
        <v>67</v>
      </c>
      <c r="D21" s="36"/>
      <c r="E21" s="37" t="s">
        <v>43</v>
      </c>
      <c r="F21" s="37"/>
      <c r="G21" s="5">
        <f>H21+K22</f>
        <v>1</v>
      </c>
      <c r="H21" s="5">
        <v>2</v>
      </c>
      <c r="I21" s="5">
        <v>2</v>
      </c>
      <c r="J21" s="5">
        <v>2</v>
      </c>
      <c r="K21" s="6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</row>
    <row r="22" spans="1:23" ht="16.5" x14ac:dyDescent="0.25">
      <c r="A22" s="41"/>
      <c r="B22" s="41"/>
      <c r="C22" s="32"/>
      <c r="D22" s="33"/>
      <c r="E22" s="32"/>
      <c r="F22" s="33"/>
      <c r="G22" s="5"/>
      <c r="H22" s="5"/>
      <c r="I22" s="5"/>
      <c r="J22" s="5"/>
      <c r="K22" s="14">
        <v>-1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16.5" x14ac:dyDescent="0.25">
      <c r="A23" s="41"/>
      <c r="B23" s="41"/>
      <c r="C23" s="36" t="s">
        <v>142</v>
      </c>
      <c r="D23" s="36"/>
      <c r="E23" s="37" t="s">
        <v>42</v>
      </c>
      <c r="F23" s="37"/>
      <c r="G23" s="5">
        <v>2</v>
      </c>
      <c r="H23" s="5">
        <v>2</v>
      </c>
      <c r="I23" s="5">
        <v>2</v>
      </c>
      <c r="J23" s="5">
        <v>2</v>
      </c>
      <c r="K23" s="6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</row>
    <row r="24" spans="1:23" ht="16.5" x14ac:dyDescent="0.25">
      <c r="A24" s="41"/>
      <c r="B24" s="41"/>
      <c r="C24" s="42" t="s">
        <v>133</v>
      </c>
      <c r="D24" s="43"/>
      <c r="E24" s="32" t="s">
        <v>40</v>
      </c>
      <c r="F24" s="33"/>
      <c r="G24" s="5">
        <v>2</v>
      </c>
      <c r="H24" s="5">
        <v>2</v>
      </c>
      <c r="I24" s="5">
        <v>2</v>
      </c>
      <c r="J24" s="5">
        <v>2</v>
      </c>
      <c r="K24" s="6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</row>
    <row r="25" spans="1:23" ht="16.5" x14ac:dyDescent="0.25">
      <c r="A25" s="41"/>
      <c r="B25" s="41"/>
      <c r="C25" s="36" t="s">
        <v>68</v>
      </c>
      <c r="D25" s="36"/>
      <c r="E25" s="37" t="s">
        <v>41</v>
      </c>
      <c r="F25" s="37"/>
      <c r="G25" s="5">
        <v>2</v>
      </c>
      <c r="H25" s="5">
        <v>2</v>
      </c>
      <c r="I25" s="5">
        <v>2</v>
      </c>
      <c r="J25" s="5">
        <v>2</v>
      </c>
      <c r="K25" s="6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</row>
    <row r="26" spans="1:23" ht="16.5" x14ac:dyDescent="0.25">
      <c r="A26" s="41"/>
      <c r="B26" s="41"/>
      <c r="C26" s="36" t="s">
        <v>69</v>
      </c>
      <c r="D26" s="36"/>
      <c r="E26" s="37" t="s">
        <v>42</v>
      </c>
      <c r="F26" s="37"/>
      <c r="G26" s="5">
        <v>2</v>
      </c>
      <c r="H26" s="5">
        <v>2</v>
      </c>
      <c r="I26" s="5">
        <v>2</v>
      </c>
      <c r="J26" s="5">
        <v>2</v>
      </c>
      <c r="K26" s="6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</row>
    <row r="27" spans="1:23" ht="16.5" x14ac:dyDescent="0.25">
      <c r="A27" s="41"/>
      <c r="B27" s="41"/>
      <c r="C27" s="36" t="s">
        <v>70</v>
      </c>
      <c r="D27" s="36"/>
      <c r="E27" s="37" t="s">
        <v>43</v>
      </c>
      <c r="F27" s="37"/>
      <c r="G27" s="5">
        <v>2</v>
      </c>
      <c r="H27" s="5">
        <v>2</v>
      </c>
      <c r="I27" s="5">
        <v>2</v>
      </c>
      <c r="J27" s="5">
        <v>2</v>
      </c>
      <c r="K27" s="6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</row>
    <row r="28" spans="1:23" ht="16.5" x14ac:dyDescent="0.25">
      <c r="A28" s="41"/>
      <c r="B28" s="41"/>
      <c r="C28" s="42" t="s">
        <v>71</v>
      </c>
      <c r="D28" s="43"/>
      <c r="E28" s="37" t="s">
        <v>43</v>
      </c>
      <c r="F28" s="37"/>
      <c r="G28" s="5">
        <v>2</v>
      </c>
      <c r="H28" s="5">
        <v>2</v>
      </c>
      <c r="I28" s="5">
        <v>2</v>
      </c>
      <c r="J28" s="5">
        <v>2</v>
      </c>
      <c r="K28" s="6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</row>
    <row r="29" spans="1:23" ht="16.5" x14ac:dyDescent="0.25">
      <c r="A29" s="41"/>
      <c r="B29" s="41"/>
      <c r="C29" s="42" t="s">
        <v>72</v>
      </c>
      <c r="D29" s="43"/>
      <c r="E29" s="32" t="s">
        <v>43</v>
      </c>
      <c r="F29" s="33"/>
      <c r="G29" s="5">
        <v>2</v>
      </c>
      <c r="H29" s="5">
        <v>2</v>
      </c>
      <c r="I29" s="5">
        <v>2</v>
      </c>
      <c r="J29" s="5">
        <v>2</v>
      </c>
      <c r="K29" s="6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</row>
    <row r="30" spans="1:23" ht="16.5" x14ac:dyDescent="0.25">
      <c r="A30" s="41"/>
      <c r="B30" s="41"/>
      <c r="C30" s="42" t="s">
        <v>73</v>
      </c>
      <c r="D30" s="43"/>
      <c r="E30" s="37" t="s">
        <v>41</v>
      </c>
      <c r="F30" s="37"/>
      <c r="G30" s="5">
        <v>2</v>
      </c>
      <c r="H30" s="5">
        <v>2</v>
      </c>
      <c r="I30" s="5">
        <v>2</v>
      </c>
      <c r="J30" s="5">
        <v>2</v>
      </c>
      <c r="K30" s="6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</row>
    <row r="31" spans="1:23" ht="16.5" x14ac:dyDescent="0.25">
      <c r="A31" s="41"/>
      <c r="B31" s="41"/>
      <c r="C31" s="36" t="s">
        <v>95</v>
      </c>
      <c r="D31" s="36"/>
      <c r="E31" s="37" t="s">
        <v>19</v>
      </c>
      <c r="F31" s="37"/>
      <c r="G31" s="5">
        <v>10</v>
      </c>
      <c r="H31" s="5">
        <v>10</v>
      </c>
      <c r="I31" s="11">
        <v>10</v>
      </c>
      <c r="J31" s="11">
        <v>10</v>
      </c>
      <c r="K31" s="6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</row>
    <row r="32" spans="1:23" ht="16.5" x14ac:dyDescent="0.25">
      <c r="A32" s="41"/>
      <c r="B32" s="41" t="s">
        <v>23</v>
      </c>
      <c r="C32" s="36" t="s">
        <v>66</v>
      </c>
      <c r="D32" s="36"/>
      <c r="E32" s="37" t="s">
        <v>42</v>
      </c>
      <c r="F32" s="37"/>
      <c r="G32" s="5">
        <f>H32+L33</f>
        <v>1</v>
      </c>
      <c r="H32" s="5">
        <v>2</v>
      </c>
      <c r="I32" s="5">
        <v>2</v>
      </c>
      <c r="J32" s="5">
        <v>2</v>
      </c>
      <c r="K32" s="5">
        <v>2</v>
      </c>
      <c r="L32" s="6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</row>
    <row r="33" spans="1:23" ht="16.5" x14ac:dyDescent="0.25">
      <c r="A33" s="41"/>
      <c r="B33" s="41"/>
      <c r="C33" s="32"/>
      <c r="D33" s="33"/>
      <c r="E33" s="32"/>
      <c r="F33" s="33"/>
      <c r="G33" s="5"/>
      <c r="H33" s="5"/>
      <c r="I33" s="5"/>
      <c r="J33" s="5"/>
      <c r="K33" s="5"/>
      <c r="L33" s="14">
        <v>-1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ht="16.5" x14ac:dyDescent="0.25">
      <c r="A34" s="41"/>
      <c r="B34" s="41"/>
      <c r="C34" s="36" t="s">
        <v>67</v>
      </c>
      <c r="D34" s="36"/>
      <c r="E34" s="37" t="s">
        <v>43</v>
      </c>
      <c r="F34" s="37"/>
      <c r="G34" s="5">
        <f>H34+L35</f>
        <v>1</v>
      </c>
      <c r="H34" s="5">
        <v>2</v>
      </c>
      <c r="I34" s="5">
        <v>2</v>
      </c>
      <c r="J34" s="5">
        <v>2</v>
      </c>
      <c r="K34" s="5">
        <v>2</v>
      </c>
      <c r="L34" s="6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</row>
    <row r="35" spans="1:23" ht="16.5" x14ac:dyDescent="0.25">
      <c r="A35" s="41"/>
      <c r="B35" s="41"/>
      <c r="C35" s="32"/>
      <c r="D35" s="33"/>
      <c r="E35" s="32"/>
      <c r="F35" s="33"/>
      <c r="G35" s="5"/>
      <c r="H35" s="5"/>
      <c r="I35" s="5"/>
      <c r="J35" s="5"/>
      <c r="K35" s="5"/>
      <c r="L35" s="14">
        <v>-1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ht="16.5" x14ac:dyDescent="0.25">
      <c r="A36" s="41"/>
      <c r="B36" s="41"/>
      <c r="C36" s="36" t="s">
        <v>142</v>
      </c>
      <c r="D36" s="36"/>
      <c r="E36" s="37" t="s">
        <v>42</v>
      </c>
      <c r="F36" s="37"/>
      <c r="G36" s="5">
        <v>2</v>
      </c>
      <c r="H36" s="5">
        <v>2</v>
      </c>
      <c r="I36" s="5">
        <v>2</v>
      </c>
      <c r="J36" s="5">
        <v>2</v>
      </c>
      <c r="K36" s="5">
        <v>2</v>
      </c>
      <c r="L36" s="6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</row>
    <row r="37" spans="1:23" ht="16.5" x14ac:dyDescent="0.25">
      <c r="A37" s="41"/>
      <c r="B37" s="41"/>
      <c r="C37" s="42" t="s">
        <v>133</v>
      </c>
      <c r="D37" s="43"/>
      <c r="E37" s="32" t="s">
        <v>40</v>
      </c>
      <c r="F37" s="33"/>
      <c r="G37" s="5">
        <v>2</v>
      </c>
      <c r="H37" s="5">
        <v>2</v>
      </c>
      <c r="I37" s="5">
        <v>2</v>
      </c>
      <c r="J37" s="5">
        <v>2</v>
      </c>
      <c r="K37" s="5">
        <v>2</v>
      </c>
      <c r="L37" s="6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</row>
    <row r="38" spans="1:23" ht="16.5" x14ac:dyDescent="0.25">
      <c r="A38" s="41"/>
      <c r="B38" s="41"/>
      <c r="C38" s="36" t="s">
        <v>68</v>
      </c>
      <c r="D38" s="36"/>
      <c r="E38" s="37" t="s">
        <v>41</v>
      </c>
      <c r="F38" s="37"/>
      <c r="G38" s="5">
        <v>2</v>
      </c>
      <c r="H38" s="5">
        <v>2</v>
      </c>
      <c r="I38" s="5">
        <v>2</v>
      </c>
      <c r="J38" s="5">
        <v>2</v>
      </c>
      <c r="K38" s="5">
        <v>2</v>
      </c>
      <c r="L38" s="6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</row>
    <row r="39" spans="1:23" ht="16.5" x14ac:dyDescent="0.25">
      <c r="A39" s="41"/>
      <c r="B39" s="41"/>
      <c r="C39" s="36" t="s">
        <v>69</v>
      </c>
      <c r="D39" s="36"/>
      <c r="E39" s="37" t="s">
        <v>42</v>
      </c>
      <c r="F39" s="37"/>
      <c r="G39" s="5">
        <v>2</v>
      </c>
      <c r="H39" s="5">
        <v>2</v>
      </c>
      <c r="I39" s="5">
        <v>2</v>
      </c>
      <c r="J39" s="5">
        <v>2</v>
      </c>
      <c r="K39" s="5">
        <v>2</v>
      </c>
      <c r="L39" s="6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</row>
    <row r="40" spans="1:23" ht="16.5" x14ac:dyDescent="0.25">
      <c r="A40" s="41"/>
      <c r="B40" s="41"/>
      <c r="C40" s="36" t="s">
        <v>70</v>
      </c>
      <c r="D40" s="36"/>
      <c r="E40" s="37" t="s">
        <v>43</v>
      </c>
      <c r="F40" s="37"/>
      <c r="G40" s="5">
        <v>2</v>
      </c>
      <c r="H40" s="5">
        <v>2</v>
      </c>
      <c r="I40" s="5">
        <v>2</v>
      </c>
      <c r="J40" s="5">
        <v>2</v>
      </c>
      <c r="K40" s="5">
        <v>2</v>
      </c>
      <c r="L40" s="6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</row>
    <row r="41" spans="1:23" ht="16.5" x14ac:dyDescent="0.25">
      <c r="A41" s="41"/>
      <c r="B41" s="41"/>
      <c r="C41" s="42" t="s">
        <v>71</v>
      </c>
      <c r="D41" s="43"/>
      <c r="E41" s="37" t="s">
        <v>44</v>
      </c>
      <c r="F41" s="37"/>
      <c r="G41" s="5">
        <v>2</v>
      </c>
      <c r="H41" s="5">
        <v>2</v>
      </c>
      <c r="I41" s="5">
        <v>2</v>
      </c>
      <c r="J41" s="5">
        <v>2</v>
      </c>
      <c r="K41" s="5">
        <v>2</v>
      </c>
      <c r="L41" s="6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</row>
    <row r="42" spans="1:23" ht="16.5" x14ac:dyDescent="0.25">
      <c r="A42" s="41"/>
      <c r="B42" s="41"/>
      <c r="C42" s="42" t="s">
        <v>72</v>
      </c>
      <c r="D42" s="43"/>
      <c r="E42" s="32" t="s">
        <v>40</v>
      </c>
      <c r="F42" s="33"/>
      <c r="G42" s="5">
        <v>2</v>
      </c>
      <c r="H42" s="5">
        <v>2</v>
      </c>
      <c r="I42" s="5">
        <v>2</v>
      </c>
      <c r="J42" s="5">
        <v>2</v>
      </c>
      <c r="K42" s="5">
        <v>2</v>
      </c>
      <c r="L42" s="6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</row>
    <row r="43" spans="1:23" ht="16.5" x14ac:dyDescent="0.25">
      <c r="A43" s="41"/>
      <c r="B43" s="41"/>
      <c r="C43" s="42" t="s">
        <v>73</v>
      </c>
      <c r="D43" s="43"/>
      <c r="E43" s="37" t="s">
        <v>41</v>
      </c>
      <c r="F43" s="37"/>
      <c r="G43" s="5">
        <v>2</v>
      </c>
      <c r="H43" s="5">
        <v>2</v>
      </c>
      <c r="I43" s="5">
        <v>2</v>
      </c>
      <c r="J43" s="5">
        <v>2</v>
      </c>
      <c r="K43" s="5">
        <v>2</v>
      </c>
      <c r="L43" s="6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</row>
    <row r="44" spans="1:23" ht="16.5" x14ac:dyDescent="0.25">
      <c r="A44" s="41"/>
      <c r="B44" s="41"/>
      <c r="C44" s="36" t="s">
        <v>94</v>
      </c>
      <c r="D44" s="36"/>
      <c r="E44" s="37" t="s">
        <v>19</v>
      </c>
      <c r="F44" s="37"/>
      <c r="G44" s="5">
        <v>10</v>
      </c>
      <c r="H44" s="5">
        <v>10</v>
      </c>
      <c r="I44" s="5">
        <v>10</v>
      </c>
      <c r="J44" s="5">
        <v>10</v>
      </c>
      <c r="K44" s="5">
        <v>10</v>
      </c>
      <c r="L44" s="6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</row>
    <row r="45" spans="1:23" ht="16.5" x14ac:dyDescent="0.25">
      <c r="A45" s="41"/>
      <c r="B45" s="41" t="s">
        <v>24</v>
      </c>
      <c r="C45" s="36" t="s">
        <v>74</v>
      </c>
      <c r="D45" s="36"/>
      <c r="E45" s="37" t="s">
        <v>41</v>
      </c>
      <c r="F45" s="37"/>
      <c r="G45" s="5">
        <f>H45+M46</f>
        <v>3</v>
      </c>
      <c r="H45" s="5">
        <v>2</v>
      </c>
      <c r="I45" s="11">
        <v>2</v>
      </c>
      <c r="J45" s="5">
        <v>2</v>
      </c>
      <c r="K45" s="11">
        <v>2</v>
      </c>
      <c r="L45" s="5">
        <v>2</v>
      </c>
      <c r="M45" s="6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</row>
    <row r="46" spans="1:23" ht="16.5" x14ac:dyDescent="0.25">
      <c r="A46" s="41"/>
      <c r="B46" s="41"/>
      <c r="C46" s="32"/>
      <c r="D46" s="33"/>
      <c r="E46" s="32"/>
      <c r="F46" s="33"/>
      <c r="G46" s="5"/>
      <c r="H46" s="5"/>
      <c r="I46" s="11"/>
      <c r="J46" s="11"/>
      <c r="K46" s="11"/>
      <c r="L46" s="11"/>
      <c r="M46" s="12">
        <v>1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6.5" x14ac:dyDescent="0.25">
      <c r="A47" s="41"/>
      <c r="B47" s="41"/>
      <c r="C47" s="42" t="s">
        <v>75</v>
      </c>
      <c r="D47" s="43"/>
      <c r="E47" s="37" t="s">
        <v>42</v>
      </c>
      <c r="F47" s="37"/>
      <c r="G47" s="5">
        <v>2</v>
      </c>
      <c r="H47" s="5">
        <v>2</v>
      </c>
      <c r="I47" s="5">
        <v>2</v>
      </c>
      <c r="J47" s="5">
        <v>2</v>
      </c>
      <c r="K47" s="5">
        <v>2</v>
      </c>
      <c r="L47" s="5">
        <v>2</v>
      </c>
      <c r="M47" s="6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</row>
    <row r="48" spans="1:23" ht="16.5" x14ac:dyDescent="0.25">
      <c r="A48" s="41"/>
      <c r="B48" s="41"/>
      <c r="C48" s="36" t="s">
        <v>143</v>
      </c>
      <c r="D48" s="36"/>
      <c r="E48" s="37" t="s">
        <v>43</v>
      </c>
      <c r="F48" s="37"/>
      <c r="G48" s="5">
        <v>2</v>
      </c>
      <c r="H48" s="5">
        <v>2</v>
      </c>
      <c r="I48" s="5">
        <v>2</v>
      </c>
      <c r="J48" s="5">
        <v>2</v>
      </c>
      <c r="K48" s="5">
        <v>2</v>
      </c>
      <c r="L48" s="5">
        <v>2</v>
      </c>
      <c r="M48" s="6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</row>
    <row r="49" spans="1:23" ht="16.5" x14ac:dyDescent="0.25">
      <c r="A49" s="41"/>
      <c r="B49" s="41"/>
      <c r="C49" s="36" t="s">
        <v>134</v>
      </c>
      <c r="D49" s="36"/>
      <c r="E49" s="37" t="s">
        <v>44</v>
      </c>
      <c r="F49" s="37"/>
      <c r="G49" s="5">
        <v>2</v>
      </c>
      <c r="H49" s="5">
        <v>2</v>
      </c>
      <c r="I49" s="5">
        <v>2</v>
      </c>
      <c r="J49" s="5">
        <v>2</v>
      </c>
      <c r="K49" s="5">
        <v>2</v>
      </c>
      <c r="L49" s="5">
        <v>2</v>
      </c>
      <c r="M49" s="6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</row>
    <row r="50" spans="1:23" ht="16.5" x14ac:dyDescent="0.25">
      <c r="A50" s="41"/>
      <c r="B50" s="41"/>
      <c r="C50" s="36" t="s">
        <v>76</v>
      </c>
      <c r="D50" s="36"/>
      <c r="E50" s="32" t="s">
        <v>40</v>
      </c>
      <c r="F50" s="33"/>
      <c r="G50" s="5">
        <v>2</v>
      </c>
      <c r="H50" s="5">
        <v>2</v>
      </c>
      <c r="I50" s="5">
        <v>2</v>
      </c>
      <c r="J50" s="5">
        <v>2</v>
      </c>
      <c r="K50" s="5">
        <v>2</v>
      </c>
      <c r="L50" s="5">
        <v>2</v>
      </c>
      <c r="M50" s="6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</row>
    <row r="51" spans="1:23" ht="16.5" x14ac:dyDescent="0.25">
      <c r="A51" s="41"/>
      <c r="B51" s="41"/>
      <c r="C51" s="36" t="s">
        <v>77</v>
      </c>
      <c r="D51" s="36"/>
      <c r="E51" s="37" t="s">
        <v>41</v>
      </c>
      <c r="F51" s="37"/>
      <c r="G51" s="5">
        <v>2</v>
      </c>
      <c r="H51" s="5">
        <v>2</v>
      </c>
      <c r="I51" s="5">
        <v>2</v>
      </c>
      <c r="J51" s="5">
        <v>2</v>
      </c>
      <c r="K51" s="5">
        <v>2</v>
      </c>
      <c r="L51" s="5">
        <v>2</v>
      </c>
      <c r="M51" s="11">
        <v>2</v>
      </c>
      <c r="N51" s="6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</row>
    <row r="52" spans="1:23" ht="16.5" x14ac:dyDescent="0.25">
      <c r="A52" s="41"/>
      <c r="B52" s="41"/>
      <c r="C52" s="36" t="s">
        <v>78</v>
      </c>
      <c r="D52" s="36"/>
      <c r="E52" s="37" t="s">
        <v>42</v>
      </c>
      <c r="F52" s="37"/>
      <c r="G52" s="5">
        <v>2</v>
      </c>
      <c r="H52" s="5">
        <v>2</v>
      </c>
      <c r="I52" s="5">
        <v>2</v>
      </c>
      <c r="J52" s="5">
        <v>2</v>
      </c>
      <c r="K52" s="5">
        <v>2</v>
      </c>
      <c r="L52" s="5">
        <v>2</v>
      </c>
      <c r="M52" s="11">
        <v>2</v>
      </c>
      <c r="N52" s="6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</row>
    <row r="53" spans="1:23" ht="16.5" x14ac:dyDescent="0.25">
      <c r="A53" s="41"/>
      <c r="B53" s="41"/>
      <c r="C53" s="36" t="s">
        <v>79</v>
      </c>
      <c r="D53" s="36"/>
      <c r="E53" s="37" t="s">
        <v>43</v>
      </c>
      <c r="F53" s="37"/>
      <c r="G53" s="5">
        <v>2</v>
      </c>
      <c r="H53" s="5">
        <v>2</v>
      </c>
      <c r="I53" s="5">
        <v>2</v>
      </c>
      <c r="J53" s="5">
        <v>2</v>
      </c>
      <c r="K53" s="5">
        <v>2</v>
      </c>
      <c r="L53" s="5">
        <v>2</v>
      </c>
      <c r="M53" s="11">
        <v>2</v>
      </c>
      <c r="N53" s="6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</row>
    <row r="54" spans="1:23" ht="16.5" x14ac:dyDescent="0.25">
      <c r="A54" s="41"/>
      <c r="B54" s="41"/>
      <c r="C54" s="36" t="s">
        <v>80</v>
      </c>
      <c r="D54" s="36"/>
      <c r="E54" s="37" t="s">
        <v>44</v>
      </c>
      <c r="F54" s="37"/>
      <c r="G54" s="5">
        <f>H54+N55</f>
        <v>1</v>
      </c>
      <c r="H54" s="5">
        <v>2</v>
      </c>
      <c r="I54" s="11">
        <v>2</v>
      </c>
      <c r="J54" s="5">
        <v>2</v>
      </c>
      <c r="K54" s="11">
        <v>2</v>
      </c>
      <c r="L54" s="5">
        <v>2</v>
      </c>
      <c r="M54" s="11">
        <v>2</v>
      </c>
      <c r="N54" s="6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</row>
    <row r="55" spans="1:23" ht="16.5" x14ac:dyDescent="0.25">
      <c r="A55" s="41"/>
      <c r="B55" s="41"/>
      <c r="C55" s="32"/>
      <c r="D55" s="33"/>
      <c r="E55" s="32"/>
      <c r="F55" s="33"/>
      <c r="G55" s="5"/>
      <c r="H55" s="5"/>
      <c r="I55" s="11"/>
      <c r="J55" s="11"/>
      <c r="K55" s="11"/>
      <c r="L55" s="11"/>
      <c r="M55" s="11"/>
      <c r="N55" s="14">
        <v>-1</v>
      </c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6.5" x14ac:dyDescent="0.25">
      <c r="A56" s="41"/>
      <c r="B56" s="41"/>
      <c r="C56" s="36" t="s">
        <v>81</v>
      </c>
      <c r="D56" s="36"/>
      <c r="E56" s="32" t="s">
        <v>40</v>
      </c>
      <c r="F56" s="33"/>
      <c r="G56" s="5">
        <v>2</v>
      </c>
      <c r="H56" s="5">
        <v>2</v>
      </c>
      <c r="I56" s="5">
        <v>2</v>
      </c>
      <c r="J56" s="5">
        <v>2</v>
      </c>
      <c r="K56" s="5">
        <v>2</v>
      </c>
      <c r="L56" s="5">
        <v>2</v>
      </c>
      <c r="M56" s="5">
        <v>2</v>
      </c>
      <c r="N56" s="6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</row>
    <row r="57" spans="1:23" ht="16.5" x14ac:dyDescent="0.25">
      <c r="A57" s="41"/>
      <c r="B57" s="41"/>
      <c r="C57" s="32"/>
      <c r="D57" s="33"/>
      <c r="E57" s="32"/>
      <c r="F57" s="33"/>
      <c r="G57" s="5"/>
      <c r="H57" s="5"/>
      <c r="I57" s="11"/>
      <c r="J57" s="11"/>
      <c r="K57" s="11"/>
      <c r="L57" s="11"/>
      <c r="M57" s="11"/>
      <c r="N57" s="12">
        <v>1</v>
      </c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16.5" x14ac:dyDescent="0.25">
      <c r="A58" s="41"/>
      <c r="B58" s="41"/>
      <c r="C58" s="36" t="s">
        <v>82</v>
      </c>
      <c r="D58" s="36"/>
      <c r="E58" s="37" t="s">
        <v>41</v>
      </c>
      <c r="F58" s="37"/>
      <c r="G58" s="5">
        <f>H58+P59</f>
        <v>5</v>
      </c>
      <c r="H58" s="5">
        <v>4</v>
      </c>
      <c r="I58" s="11">
        <v>4</v>
      </c>
      <c r="J58" s="5">
        <v>4</v>
      </c>
      <c r="K58" s="11">
        <v>4</v>
      </c>
      <c r="L58" s="5">
        <v>4</v>
      </c>
      <c r="M58" s="11">
        <v>4</v>
      </c>
      <c r="N58" s="5">
        <v>4</v>
      </c>
      <c r="O58" s="11">
        <v>4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</row>
    <row r="59" spans="1:23" ht="16.5" x14ac:dyDescent="0.25">
      <c r="A59" s="41"/>
      <c r="B59" s="41"/>
      <c r="C59" s="32"/>
      <c r="D59" s="33"/>
      <c r="E59" s="32"/>
      <c r="F59" s="33"/>
      <c r="G59" s="5"/>
      <c r="H59" s="5"/>
      <c r="I59" s="11"/>
      <c r="J59" s="11"/>
      <c r="K59" s="11"/>
      <c r="L59" s="11"/>
      <c r="M59" s="11"/>
      <c r="N59" s="11"/>
      <c r="O59" s="11"/>
      <c r="P59" s="12">
        <v>1</v>
      </c>
      <c r="Q59" s="11"/>
      <c r="R59" s="11"/>
      <c r="S59" s="11"/>
      <c r="T59" s="11"/>
      <c r="U59" s="11"/>
      <c r="V59" s="11"/>
      <c r="W59" s="11"/>
    </row>
    <row r="60" spans="1:23" ht="16.5" x14ac:dyDescent="0.25">
      <c r="A60" s="41"/>
      <c r="B60" s="41"/>
      <c r="C60" s="36" t="s">
        <v>83</v>
      </c>
      <c r="D60" s="36"/>
      <c r="E60" s="37" t="s">
        <v>44</v>
      </c>
      <c r="F60" s="37"/>
      <c r="G60" s="5">
        <v>4</v>
      </c>
      <c r="H60" s="5">
        <v>4</v>
      </c>
      <c r="I60" s="5">
        <v>4</v>
      </c>
      <c r="J60" s="5">
        <v>4</v>
      </c>
      <c r="K60" s="5">
        <v>4</v>
      </c>
      <c r="L60" s="5">
        <v>4</v>
      </c>
      <c r="M60" s="5">
        <v>4</v>
      </c>
      <c r="N60" s="5">
        <v>4</v>
      </c>
      <c r="O60" s="5">
        <v>4</v>
      </c>
      <c r="P60" s="6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</row>
    <row r="61" spans="1:23" ht="16.5" x14ac:dyDescent="0.25">
      <c r="A61" s="41"/>
      <c r="B61" s="41"/>
      <c r="C61" s="36" t="s">
        <v>144</v>
      </c>
      <c r="D61" s="36"/>
      <c r="E61" s="37" t="s">
        <v>40</v>
      </c>
      <c r="F61" s="37"/>
      <c r="G61" s="5">
        <v>4</v>
      </c>
      <c r="H61" s="5">
        <v>4</v>
      </c>
      <c r="I61" s="5">
        <v>4</v>
      </c>
      <c r="J61" s="5">
        <v>4</v>
      </c>
      <c r="K61" s="5">
        <v>4</v>
      </c>
      <c r="L61" s="5">
        <v>4</v>
      </c>
      <c r="M61" s="5">
        <v>4</v>
      </c>
      <c r="N61" s="5">
        <v>4</v>
      </c>
      <c r="O61" s="5">
        <v>4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</row>
    <row r="62" spans="1:23" ht="16.5" x14ac:dyDescent="0.25">
      <c r="A62" s="41"/>
      <c r="B62" s="41"/>
      <c r="C62" s="36" t="s">
        <v>135</v>
      </c>
      <c r="D62" s="36"/>
      <c r="E62" s="37" t="s">
        <v>44</v>
      </c>
      <c r="F62" s="37"/>
      <c r="G62" s="5">
        <v>4</v>
      </c>
      <c r="H62" s="5">
        <v>4</v>
      </c>
      <c r="I62" s="5">
        <v>4</v>
      </c>
      <c r="J62" s="5">
        <v>4</v>
      </c>
      <c r="K62" s="5">
        <v>4</v>
      </c>
      <c r="L62" s="5">
        <v>4</v>
      </c>
      <c r="M62" s="5">
        <v>4</v>
      </c>
      <c r="N62" s="5">
        <v>4</v>
      </c>
      <c r="O62" s="5">
        <v>4</v>
      </c>
      <c r="P62" s="6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</row>
    <row r="63" spans="1:23" ht="16.5" x14ac:dyDescent="0.25">
      <c r="A63" s="41"/>
      <c r="B63" s="41"/>
      <c r="C63" s="36" t="s">
        <v>84</v>
      </c>
      <c r="D63" s="36"/>
      <c r="E63" s="32" t="s">
        <v>40</v>
      </c>
      <c r="F63" s="33"/>
      <c r="G63" s="5">
        <v>4</v>
      </c>
      <c r="H63" s="5">
        <v>4</v>
      </c>
      <c r="I63" s="5">
        <v>4</v>
      </c>
      <c r="J63" s="5">
        <v>4</v>
      </c>
      <c r="K63" s="5">
        <v>4</v>
      </c>
      <c r="L63" s="5">
        <v>4</v>
      </c>
      <c r="M63" s="5">
        <v>4</v>
      </c>
      <c r="N63" s="5">
        <v>4</v>
      </c>
      <c r="O63" s="5">
        <v>4</v>
      </c>
      <c r="P63" s="6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</row>
    <row r="64" spans="1:23" ht="16.5" x14ac:dyDescent="0.25">
      <c r="A64" s="41"/>
      <c r="B64" s="41"/>
      <c r="C64" s="36" t="s">
        <v>85</v>
      </c>
      <c r="D64" s="36"/>
      <c r="E64" s="37" t="s">
        <v>41</v>
      </c>
      <c r="F64" s="37"/>
      <c r="G64" s="5">
        <f>H64+R65</f>
        <v>5</v>
      </c>
      <c r="H64" s="5">
        <v>4</v>
      </c>
      <c r="I64" s="5">
        <v>4</v>
      </c>
      <c r="J64" s="5">
        <v>4</v>
      </c>
      <c r="K64" s="5">
        <v>4</v>
      </c>
      <c r="L64" s="5">
        <v>4</v>
      </c>
      <c r="M64" s="5">
        <v>4</v>
      </c>
      <c r="N64" s="5">
        <v>4</v>
      </c>
      <c r="O64" s="5">
        <v>4</v>
      </c>
      <c r="P64" s="11">
        <v>4</v>
      </c>
      <c r="Q64" s="11">
        <v>4</v>
      </c>
      <c r="R64" s="6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</row>
    <row r="65" spans="1:23" ht="16.5" x14ac:dyDescent="0.25">
      <c r="A65" s="41"/>
      <c r="B65" s="41"/>
      <c r="C65" s="32"/>
      <c r="D65" s="33"/>
      <c r="E65" s="32"/>
      <c r="F65" s="33"/>
      <c r="G65" s="5"/>
      <c r="H65" s="5"/>
      <c r="I65" s="11"/>
      <c r="J65" s="11"/>
      <c r="K65" s="11"/>
      <c r="L65" s="11"/>
      <c r="M65" s="11"/>
      <c r="N65" s="11"/>
      <c r="O65" s="11"/>
      <c r="P65" s="11"/>
      <c r="Q65" s="11"/>
      <c r="R65" s="12">
        <v>1</v>
      </c>
      <c r="S65" s="11"/>
      <c r="T65" s="11"/>
      <c r="U65" s="11"/>
      <c r="V65" s="11"/>
      <c r="W65" s="11"/>
    </row>
    <row r="66" spans="1:23" ht="16.5" x14ac:dyDescent="0.25">
      <c r="A66" s="41"/>
      <c r="B66" s="41"/>
      <c r="C66" s="36" t="s">
        <v>86</v>
      </c>
      <c r="D66" s="36"/>
      <c r="E66" s="37" t="s">
        <v>44</v>
      </c>
      <c r="F66" s="37"/>
      <c r="G66" s="5">
        <v>4</v>
      </c>
      <c r="H66" s="5">
        <v>4</v>
      </c>
      <c r="I66" s="5">
        <v>4</v>
      </c>
      <c r="J66" s="5">
        <v>4</v>
      </c>
      <c r="K66" s="5">
        <v>4</v>
      </c>
      <c r="L66" s="5">
        <v>4</v>
      </c>
      <c r="M66" s="5">
        <v>4</v>
      </c>
      <c r="N66" s="5">
        <v>4</v>
      </c>
      <c r="O66" s="5">
        <v>4</v>
      </c>
      <c r="P66" s="5">
        <v>4</v>
      </c>
      <c r="Q66" s="5">
        <v>4</v>
      </c>
      <c r="R66" s="6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</row>
    <row r="67" spans="1:23" ht="16.5" x14ac:dyDescent="0.25">
      <c r="A67" s="41"/>
      <c r="B67" s="41"/>
      <c r="C67" s="36" t="s">
        <v>87</v>
      </c>
      <c r="D67" s="36"/>
      <c r="E67" s="37" t="s">
        <v>44</v>
      </c>
      <c r="F67" s="37"/>
      <c r="G67" s="5">
        <v>4</v>
      </c>
      <c r="H67" s="5">
        <v>4</v>
      </c>
      <c r="I67" s="5">
        <v>4</v>
      </c>
      <c r="J67" s="5">
        <v>4</v>
      </c>
      <c r="K67" s="5">
        <v>4</v>
      </c>
      <c r="L67" s="5">
        <v>4</v>
      </c>
      <c r="M67" s="5">
        <v>4</v>
      </c>
      <c r="N67" s="5">
        <v>4</v>
      </c>
      <c r="O67" s="5">
        <v>4</v>
      </c>
      <c r="P67" s="5">
        <v>4</v>
      </c>
      <c r="Q67" s="5">
        <v>4</v>
      </c>
      <c r="R67" s="6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</row>
    <row r="68" spans="1:23" ht="16.5" x14ac:dyDescent="0.25">
      <c r="A68" s="41"/>
      <c r="B68" s="41"/>
      <c r="C68" s="36" t="s">
        <v>88</v>
      </c>
      <c r="D68" s="36"/>
      <c r="E68" s="37" t="s">
        <v>44</v>
      </c>
      <c r="F68" s="37"/>
      <c r="G68" s="5">
        <f>H68+R69</f>
        <v>3</v>
      </c>
      <c r="H68" s="5">
        <v>4</v>
      </c>
      <c r="I68" s="5">
        <v>4</v>
      </c>
      <c r="J68" s="5">
        <v>4</v>
      </c>
      <c r="K68" s="5">
        <v>4</v>
      </c>
      <c r="L68" s="5">
        <v>4</v>
      </c>
      <c r="M68" s="5">
        <v>4</v>
      </c>
      <c r="N68" s="5">
        <v>4</v>
      </c>
      <c r="O68" s="5">
        <v>4</v>
      </c>
      <c r="P68" s="5">
        <v>4</v>
      </c>
      <c r="Q68" s="5">
        <v>4</v>
      </c>
      <c r="R68" s="6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</row>
    <row r="69" spans="1:23" ht="16.5" x14ac:dyDescent="0.25">
      <c r="A69" s="41"/>
      <c r="B69" s="41"/>
      <c r="C69" s="9"/>
      <c r="D69" s="10"/>
      <c r="E69" s="7"/>
      <c r="F69" s="8"/>
      <c r="G69" s="5"/>
      <c r="H69" s="5"/>
      <c r="I69" s="11"/>
      <c r="J69" s="11"/>
      <c r="K69" s="11"/>
      <c r="L69" s="11"/>
      <c r="M69" s="11"/>
      <c r="N69" s="11"/>
      <c r="O69" s="11"/>
      <c r="P69" s="11"/>
      <c r="Q69" s="11"/>
      <c r="R69" s="14">
        <v>-1</v>
      </c>
      <c r="S69" s="11"/>
      <c r="T69" s="11"/>
      <c r="U69" s="11"/>
      <c r="V69" s="11"/>
      <c r="W69" s="11"/>
    </row>
    <row r="70" spans="1:23" ht="16.5" x14ac:dyDescent="0.25">
      <c r="A70" s="41"/>
      <c r="B70" s="41"/>
      <c r="C70" s="42" t="s">
        <v>89</v>
      </c>
      <c r="D70" s="43"/>
      <c r="E70" s="32" t="s">
        <v>40</v>
      </c>
      <c r="F70" s="33"/>
      <c r="G70" s="5">
        <v>4</v>
      </c>
      <c r="H70" s="5">
        <v>4</v>
      </c>
      <c r="I70" s="5">
        <v>4</v>
      </c>
      <c r="J70" s="5">
        <v>4</v>
      </c>
      <c r="K70" s="5">
        <v>4</v>
      </c>
      <c r="L70" s="5">
        <v>4</v>
      </c>
      <c r="M70" s="5">
        <v>4</v>
      </c>
      <c r="N70" s="5">
        <v>4</v>
      </c>
      <c r="O70" s="5">
        <v>4</v>
      </c>
      <c r="P70" s="5">
        <v>4</v>
      </c>
      <c r="Q70" s="5">
        <v>4</v>
      </c>
      <c r="R70" s="6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</row>
    <row r="71" spans="1:23" ht="16.5" x14ac:dyDescent="0.25">
      <c r="A71" s="41"/>
      <c r="B71" s="41"/>
      <c r="C71" s="32"/>
      <c r="D71" s="33"/>
      <c r="E71" s="32"/>
      <c r="F71" s="33"/>
      <c r="G71" s="5"/>
      <c r="H71" s="5"/>
      <c r="I71" s="11"/>
      <c r="J71" s="11"/>
      <c r="K71" s="11"/>
      <c r="L71" s="11"/>
      <c r="M71" s="11"/>
      <c r="N71" s="11"/>
      <c r="O71" s="11"/>
      <c r="P71" s="11"/>
      <c r="Q71" s="11"/>
      <c r="R71" s="12">
        <v>1</v>
      </c>
      <c r="S71" s="11"/>
      <c r="T71" s="11"/>
      <c r="U71" s="11"/>
      <c r="V71" s="11"/>
      <c r="W71" s="11"/>
    </row>
    <row r="72" spans="1:23" ht="16.5" x14ac:dyDescent="0.25">
      <c r="A72" s="41"/>
      <c r="B72" s="41"/>
      <c r="C72" s="36" t="s">
        <v>93</v>
      </c>
      <c r="D72" s="36"/>
      <c r="E72" s="44" t="s">
        <v>19</v>
      </c>
      <c r="F72" s="44"/>
      <c r="G72" s="5">
        <v>10</v>
      </c>
      <c r="H72" s="5">
        <v>10</v>
      </c>
      <c r="I72" s="5">
        <v>10</v>
      </c>
      <c r="J72" s="5">
        <v>10</v>
      </c>
      <c r="K72" s="5">
        <v>10</v>
      </c>
      <c r="L72" s="5">
        <v>10</v>
      </c>
      <c r="M72" s="5">
        <v>10</v>
      </c>
      <c r="N72" s="5">
        <v>10</v>
      </c>
      <c r="O72" s="5">
        <v>10</v>
      </c>
      <c r="P72" s="5">
        <v>10</v>
      </c>
      <c r="Q72" s="5">
        <v>10</v>
      </c>
      <c r="R72" s="6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</row>
    <row r="73" spans="1:23" ht="16.5" x14ac:dyDescent="0.25">
      <c r="A73" s="41"/>
      <c r="B73" s="41" t="s">
        <v>25</v>
      </c>
      <c r="C73" s="36" t="s">
        <v>66</v>
      </c>
      <c r="D73" s="36"/>
      <c r="E73" s="37" t="s">
        <v>42</v>
      </c>
      <c r="F73" s="37"/>
      <c r="G73" s="5">
        <v>2</v>
      </c>
      <c r="H73" s="5">
        <v>2</v>
      </c>
      <c r="I73" s="5">
        <v>2</v>
      </c>
      <c r="J73" s="5">
        <v>2</v>
      </c>
      <c r="K73" s="5">
        <v>2</v>
      </c>
      <c r="L73" s="5">
        <v>2</v>
      </c>
      <c r="M73" s="5">
        <v>2</v>
      </c>
      <c r="N73" s="5">
        <v>2</v>
      </c>
      <c r="O73" s="5">
        <v>2</v>
      </c>
      <c r="P73" s="5">
        <v>2</v>
      </c>
      <c r="Q73" s="5">
        <v>2</v>
      </c>
      <c r="R73" s="5">
        <v>2</v>
      </c>
      <c r="S73" s="6">
        <v>0</v>
      </c>
      <c r="T73" s="11">
        <v>0</v>
      </c>
      <c r="U73" s="11">
        <v>0</v>
      </c>
      <c r="V73" s="11">
        <v>0</v>
      </c>
      <c r="W73" s="11">
        <v>0</v>
      </c>
    </row>
    <row r="74" spans="1:23" ht="16.5" x14ac:dyDescent="0.25">
      <c r="A74" s="41"/>
      <c r="B74" s="41"/>
      <c r="C74" s="36" t="s">
        <v>67</v>
      </c>
      <c r="D74" s="36"/>
      <c r="E74" s="37" t="s">
        <v>43</v>
      </c>
      <c r="F74" s="37"/>
      <c r="G74" s="5">
        <v>2</v>
      </c>
      <c r="H74" s="5">
        <v>2</v>
      </c>
      <c r="I74" s="5">
        <v>2</v>
      </c>
      <c r="J74" s="5">
        <v>2</v>
      </c>
      <c r="K74" s="5">
        <v>2</v>
      </c>
      <c r="L74" s="5">
        <v>2</v>
      </c>
      <c r="M74" s="5">
        <v>2</v>
      </c>
      <c r="N74" s="5">
        <v>2</v>
      </c>
      <c r="O74" s="5">
        <v>2</v>
      </c>
      <c r="P74" s="5">
        <v>2</v>
      </c>
      <c r="Q74" s="5">
        <v>2</v>
      </c>
      <c r="R74" s="5">
        <v>2</v>
      </c>
      <c r="S74" s="6">
        <v>0</v>
      </c>
      <c r="T74" s="11">
        <v>0</v>
      </c>
      <c r="U74" s="11">
        <v>0</v>
      </c>
      <c r="V74" s="11">
        <v>0</v>
      </c>
      <c r="W74" s="11">
        <v>0</v>
      </c>
    </row>
    <row r="75" spans="1:23" ht="16.5" x14ac:dyDescent="0.25">
      <c r="A75" s="41"/>
      <c r="B75" s="41"/>
      <c r="C75" s="36" t="s">
        <v>142</v>
      </c>
      <c r="D75" s="36"/>
      <c r="E75" s="37" t="s">
        <v>44</v>
      </c>
      <c r="F75" s="37"/>
      <c r="G75" s="5">
        <v>2</v>
      </c>
      <c r="H75" s="5">
        <v>2</v>
      </c>
      <c r="I75" s="5">
        <v>2</v>
      </c>
      <c r="J75" s="5">
        <v>2</v>
      </c>
      <c r="K75" s="5">
        <v>2</v>
      </c>
      <c r="L75" s="5">
        <v>2</v>
      </c>
      <c r="M75" s="5">
        <v>2</v>
      </c>
      <c r="N75" s="5">
        <v>2</v>
      </c>
      <c r="O75" s="5">
        <v>2</v>
      </c>
      <c r="P75" s="5">
        <v>2</v>
      </c>
      <c r="Q75" s="5">
        <v>2</v>
      </c>
      <c r="R75" s="5">
        <v>2</v>
      </c>
      <c r="S75" s="6">
        <v>0</v>
      </c>
      <c r="T75" s="11">
        <v>0</v>
      </c>
      <c r="U75" s="11">
        <v>0</v>
      </c>
      <c r="V75" s="11">
        <v>0</v>
      </c>
      <c r="W75" s="11">
        <v>0</v>
      </c>
    </row>
    <row r="76" spans="1:23" ht="16.5" x14ac:dyDescent="0.25">
      <c r="A76" s="41"/>
      <c r="B76" s="41"/>
      <c r="C76" s="42" t="s">
        <v>133</v>
      </c>
      <c r="D76" s="43"/>
      <c r="E76" s="32" t="s">
        <v>40</v>
      </c>
      <c r="F76" s="33"/>
      <c r="G76" s="5">
        <v>2</v>
      </c>
      <c r="H76" s="5">
        <v>2</v>
      </c>
      <c r="I76" s="5">
        <v>2</v>
      </c>
      <c r="J76" s="5">
        <v>2</v>
      </c>
      <c r="K76" s="5">
        <v>2</v>
      </c>
      <c r="L76" s="5">
        <v>2</v>
      </c>
      <c r="M76" s="5">
        <v>2</v>
      </c>
      <c r="N76" s="5">
        <v>2</v>
      </c>
      <c r="O76" s="5">
        <v>2</v>
      </c>
      <c r="P76" s="5">
        <v>2</v>
      </c>
      <c r="Q76" s="5">
        <v>2</v>
      </c>
      <c r="R76" s="5">
        <v>2</v>
      </c>
      <c r="S76" s="6">
        <v>0</v>
      </c>
      <c r="T76" s="11">
        <v>0</v>
      </c>
      <c r="U76" s="11">
        <v>0</v>
      </c>
      <c r="V76" s="11">
        <v>0</v>
      </c>
      <c r="W76" s="11">
        <v>0</v>
      </c>
    </row>
    <row r="77" spans="1:23" ht="16.5" x14ac:dyDescent="0.25">
      <c r="A77" s="41"/>
      <c r="B77" s="41"/>
      <c r="C77" s="36" t="s">
        <v>68</v>
      </c>
      <c r="D77" s="36"/>
      <c r="E77" s="37" t="s">
        <v>41</v>
      </c>
      <c r="F77" s="37"/>
      <c r="G77" s="5">
        <v>2</v>
      </c>
      <c r="H77" s="5">
        <v>2</v>
      </c>
      <c r="I77" s="5">
        <v>2</v>
      </c>
      <c r="J77" s="5">
        <v>2</v>
      </c>
      <c r="K77" s="5">
        <v>2</v>
      </c>
      <c r="L77" s="5">
        <v>2</v>
      </c>
      <c r="M77" s="5">
        <v>2</v>
      </c>
      <c r="N77" s="5">
        <v>2</v>
      </c>
      <c r="O77" s="5">
        <v>2</v>
      </c>
      <c r="P77" s="5">
        <v>2</v>
      </c>
      <c r="Q77" s="5">
        <v>2</v>
      </c>
      <c r="R77" s="5">
        <v>2</v>
      </c>
      <c r="S77" s="6">
        <v>0</v>
      </c>
      <c r="T77" s="11">
        <v>0</v>
      </c>
      <c r="U77" s="11">
        <v>0</v>
      </c>
      <c r="V77" s="11">
        <v>0</v>
      </c>
      <c r="W77" s="11">
        <v>0</v>
      </c>
    </row>
    <row r="78" spans="1:23" ht="16.5" x14ac:dyDescent="0.25">
      <c r="A78" s="41"/>
      <c r="B78" s="41"/>
      <c r="C78" s="36" t="s">
        <v>69</v>
      </c>
      <c r="D78" s="36"/>
      <c r="E78" s="37" t="s">
        <v>42</v>
      </c>
      <c r="F78" s="37"/>
      <c r="G78" s="5">
        <v>2</v>
      </c>
      <c r="H78" s="5">
        <v>2</v>
      </c>
      <c r="I78" s="5">
        <v>2</v>
      </c>
      <c r="J78" s="5">
        <v>2</v>
      </c>
      <c r="K78" s="5">
        <v>2</v>
      </c>
      <c r="L78" s="5">
        <v>2</v>
      </c>
      <c r="M78" s="5">
        <v>2</v>
      </c>
      <c r="N78" s="5">
        <v>2</v>
      </c>
      <c r="O78" s="5">
        <v>2</v>
      </c>
      <c r="P78" s="5">
        <v>2</v>
      </c>
      <c r="Q78" s="5">
        <v>2</v>
      </c>
      <c r="R78" s="5">
        <v>2</v>
      </c>
      <c r="S78" s="6">
        <v>0</v>
      </c>
      <c r="T78" s="11">
        <v>0</v>
      </c>
      <c r="U78" s="11">
        <v>0</v>
      </c>
      <c r="V78" s="11">
        <v>0</v>
      </c>
      <c r="W78" s="11">
        <v>0</v>
      </c>
    </row>
    <row r="79" spans="1:23" ht="16.5" x14ac:dyDescent="0.25">
      <c r="A79" s="41"/>
      <c r="B79" s="41"/>
      <c r="C79" s="36" t="s">
        <v>70</v>
      </c>
      <c r="D79" s="36"/>
      <c r="E79" s="37" t="s">
        <v>43</v>
      </c>
      <c r="F79" s="37"/>
      <c r="G79" s="5">
        <v>2</v>
      </c>
      <c r="H79" s="5">
        <v>2</v>
      </c>
      <c r="I79" s="5">
        <v>2</v>
      </c>
      <c r="J79" s="5">
        <v>2</v>
      </c>
      <c r="K79" s="5">
        <v>2</v>
      </c>
      <c r="L79" s="5">
        <v>2</v>
      </c>
      <c r="M79" s="5">
        <v>2</v>
      </c>
      <c r="N79" s="5">
        <v>2</v>
      </c>
      <c r="O79" s="5">
        <v>2</v>
      </c>
      <c r="P79" s="5">
        <v>2</v>
      </c>
      <c r="Q79" s="5">
        <v>2</v>
      </c>
      <c r="R79" s="5">
        <v>2</v>
      </c>
      <c r="S79" s="6">
        <v>0</v>
      </c>
      <c r="T79" s="11">
        <v>0</v>
      </c>
      <c r="U79" s="11">
        <v>0</v>
      </c>
      <c r="V79" s="11">
        <v>0</v>
      </c>
      <c r="W79" s="11">
        <v>0</v>
      </c>
    </row>
    <row r="80" spans="1:23" ht="16.5" x14ac:dyDescent="0.25">
      <c r="A80" s="41"/>
      <c r="B80" s="41"/>
      <c r="C80" s="42" t="s">
        <v>71</v>
      </c>
      <c r="D80" s="43"/>
      <c r="E80" s="37" t="s">
        <v>44</v>
      </c>
      <c r="F80" s="37"/>
      <c r="G80" s="5">
        <v>2</v>
      </c>
      <c r="H80" s="5">
        <v>2</v>
      </c>
      <c r="I80" s="5">
        <v>2</v>
      </c>
      <c r="J80" s="5">
        <v>2</v>
      </c>
      <c r="K80" s="5">
        <v>2</v>
      </c>
      <c r="L80" s="5">
        <v>2</v>
      </c>
      <c r="M80" s="5">
        <v>2</v>
      </c>
      <c r="N80" s="5">
        <v>2</v>
      </c>
      <c r="O80" s="5">
        <v>2</v>
      </c>
      <c r="P80" s="5">
        <v>2</v>
      </c>
      <c r="Q80" s="5">
        <v>2</v>
      </c>
      <c r="R80" s="5">
        <v>2</v>
      </c>
      <c r="S80" s="6">
        <v>0</v>
      </c>
      <c r="T80" s="11">
        <v>0</v>
      </c>
      <c r="U80" s="11">
        <v>0</v>
      </c>
      <c r="V80" s="11">
        <v>0</v>
      </c>
      <c r="W80" s="11">
        <v>0</v>
      </c>
    </row>
    <row r="81" spans="1:23" ht="16.5" x14ac:dyDescent="0.25">
      <c r="A81" s="41"/>
      <c r="B81" s="41"/>
      <c r="C81" s="42" t="s">
        <v>72</v>
      </c>
      <c r="D81" s="43"/>
      <c r="E81" s="32" t="s">
        <v>40</v>
      </c>
      <c r="F81" s="33"/>
      <c r="G81" s="5">
        <v>2</v>
      </c>
      <c r="H81" s="5">
        <v>2</v>
      </c>
      <c r="I81" s="5">
        <v>2</v>
      </c>
      <c r="J81" s="5">
        <v>2</v>
      </c>
      <c r="K81" s="5">
        <v>2</v>
      </c>
      <c r="L81" s="5">
        <v>2</v>
      </c>
      <c r="M81" s="5">
        <v>2</v>
      </c>
      <c r="N81" s="5">
        <v>2</v>
      </c>
      <c r="O81" s="5">
        <v>2</v>
      </c>
      <c r="P81" s="5">
        <v>2</v>
      </c>
      <c r="Q81" s="5">
        <v>2</v>
      </c>
      <c r="R81" s="5">
        <v>2</v>
      </c>
      <c r="S81" s="6">
        <v>0</v>
      </c>
      <c r="T81" s="11">
        <v>0</v>
      </c>
      <c r="U81" s="11">
        <v>0</v>
      </c>
      <c r="V81" s="11">
        <v>0</v>
      </c>
      <c r="W81" s="11">
        <v>0</v>
      </c>
    </row>
    <row r="82" spans="1:23" ht="16.5" x14ac:dyDescent="0.25">
      <c r="A82" s="41"/>
      <c r="B82" s="41"/>
      <c r="C82" s="42" t="s">
        <v>73</v>
      </c>
      <c r="D82" s="43"/>
      <c r="E82" s="37" t="s">
        <v>41</v>
      </c>
      <c r="F82" s="37"/>
      <c r="G82" s="5">
        <v>2</v>
      </c>
      <c r="H82" s="5">
        <v>2</v>
      </c>
      <c r="I82" s="5">
        <v>2</v>
      </c>
      <c r="J82" s="5">
        <v>2</v>
      </c>
      <c r="K82" s="5">
        <v>2</v>
      </c>
      <c r="L82" s="5">
        <v>2</v>
      </c>
      <c r="M82" s="5">
        <v>2</v>
      </c>
      <c r="N82" s="5">
        <v>2</v>
      </c>
      <c r="O82" s="5">
        <v>2</v>
      </c>
      <c r="P82" s="5">
        <v>2</v>
      </c>
      <c r="Q82" s="5">
        <v>2</v>
      </c>
      <c r="R82" s="5">
        <v>2</v>
      </c>
      <c r="S82" s="6">
        <v>0</v>
      </c>
      <c r="T82" s="11">
        <v>0</v>
      </c>
      <c r="U82" s="11">
        <v>0</v>
      </c>
      <c r="V82" s="11">
        <v>0</v>
      </c>
      <c r="W82" s="11">
        <v>0</v>
      </c>
    </row>
    <row r="83" spans="1:23" ht="16.5" x14ac:dyDescent="0.25">
      <c r="A83" s="41"/>
      <c r="B83" s="41" t="s">
        <v>26</v>
      </c>
      <c r="C83" s="36" t="s">
        <v>66</v>
      </c>
      <c r="D83" s="36"/>
      <c r="E83" s="32" t="s">
        <v>41</v>
      </c>
      <c r="F83" s="33"/>
      <c r="G83" s="5">
        <v>2</v>
      </c>
      <c r="H83" s="5">
        <v>2</v>
      </c>
      <c r="I83" s="5">
        <v>2</v>
      </c>
      <c r="J83" s="5">
        <v>2</v>
      </c>
      <c r="K83" s="5">
        <v>2</v>
      </c>
      <c r="L83" s="5">
        <v>2</v>
      </c>
      <c r="M83" s="5">
        <v>2</v>
      </c>
      <c r="N83" s="5">
        <v>2</v>
      </c>
      <c r="O83" s="5">
        <v>2</v>
      </c>
      <c r="P83" s="5">
        <v>2</v>
      </c>
      <c r="Q83" s="5">
        <v>2</v>
      </c>
      <c r="R83" s="5">
        <v>2</v>
      </c>
      <c r="S83" s="11">
        <v>2</v>
      </c>
      <c r="T83" s="6">
        <v>0</v>
      </c>
      <c r="U83" s="11">
        <v>0</v>
      </c>
      <c r="V83" s="11">
        <v>0</v>
      </c>
      <c r="W83" s="11">
        <v>0</v>
      </c>
    </row>
    <row r="84" spans="1:23" ht="16.5" x14ac:dyDescent="0.25">
      <c r="A84" s="41"/>
      <c r="B84" s="41"/>
      <c r="C84" s="36" t="s">
        <v>67</v>
      </c>
      <c r="D84" s="36"/>
      <c r="E84" s="37" t="s">
        <v>42</v>
      </c>
      <c r="F84" s="37"/>
      <c r="G84" s="5">
        <v>2</v>
      </c>
      <c r="H84" s="5">
        <v>2</v>
      </c>
      <c r="I84" s="5">
        <v>2</v>
      </c>
      <c r="J84" s="5">
        <v>2</v>
      </c>
      <c r="K84" s="5">
        <v>2</v>
      </c>
      <c r="L84" s="5">
        <v>2</v>
      </c>
      <c r="M84" s="5">
        <v>2</v>
      </c>
      <c r="N84" s="5">
        <v>2</v>
      </c>
      <c r="O84" s="5">
        <v>2</v>
      </c>
      <c r="P84" s="5">
        <v>2</v>
      </c>
      <c r="Q84" s="5">
        <v>2</v>
      </c>
      <c r="R84" s="5">
        <v>2</v>
      </c>
      <c r="S84" s="11">
        <v>2</v>
      </c>
      <c r="T84" s="6">
        <v>0</v>
      </c>
      <c r="U84" s="11">
        <v>0</v>
      </c>
      <c r="V84" s="11">
        <v>0</v>
      </c>
      <c r="W84" s="11">
        <v>0</v>
      </c>
    </row>
    <row r="85" spans="1:23" ht="16.5" x14ac:dyDescent="0.25">
      <c r="A85" s="41"/>
      <c r="B85" s="41"/>
      <c r="C85" s="36" t="s">
        <v>142</v>
      </c>
      <c r="D85" s="36"/>
      <c r="E85" s="37" t="s">
        <v>43</v>
      </c>
      <c r="F85" s="37"/>
      <c r="G85" s="5">
        <v>2</v>
      </c>
      <c r="H85" s="5">
        <v>2</v>
      </c>
      <c r="I85" s="5">
        <v>2</v>
      </c>
      <c r="J85" s="5">
        <v>2</v>
      </c>
      <c r="K85" s="5">
        <v>2</v>
      </c>
      <c r="L85" s="5">
        <v>2</v>
      </c>
      <c r="M85" s="5">
        <v>2</v>
      </c>
      <c r="N85" s="5">
        <v>2</v>
      </c>
      <c r="O85" s="5">
        <v>2</v>
      </c>
      <c r="P85" s="5">
        <v>2</v>
      </c>
      <c r="Q85" s="5">
        <v>2</v>
      </c>
      <c r="R85" s="5">
        <v>2</v>
      </c>
      <c r="S85" s="11">
        <v>2</v>
      </c>
      <c r="T85" s="6">
        <v>0</v>
      </c>
      <c r="U85" s="11">
        <v>0</v>
      </c>
      <c r="V85" s="11">
        <v>0</v>
      </c>
      <c r="W85" s="11">
        <v>0</v>
      </c>
    </row>
    <row r="86" spans="1:23" ht="16.5" x14ac:dyDescent="0.25">
      <c r="A86" s="41"/>
      <c r="B86" s="41"/>
      <c r="C86" s="42" t="s">
        <v>133</v>
      </c>
      <c r="D86" s="43"/>
      <c r="E86" s="37" t="s">
        <v>44</v>
      </c>
      <c r="F86" s="37"/>
      <c r="G86" s="5">
        <v>2</v>
      </c>
      <c r="H86" s="5">
        <v>2</v>
      </c>
      <c r="I86" s="5">
        <v>2</v>
      </c>
      <c r="J86" s="5">
        <v>2</v>
      </c>
      <c r="K86" s="5">
        <v>2</v>
      </c>
      <c r="L86" s="5">
        <v>2</v>
      </c>
      <c r="M86" s="5">
        <v>2</v>
      </c>
      <c r="N86" s="5">
        <v>2</v>
      </c>
      <c r="O86" s="5">
        <v>2</v>
      </c>
      <c r="P86" s="5">
        <v>2</v>
      </c>
      <c r="Q86" s="5">
        <v>2</v>
      </c>
      <c r="R86" s="5">
        <v>2</v>
      </c>
      <c r="S86" s="11">
        <v>2</v>
      </c>
      <c r="T86" s="6">
        <v>0</v>
      </c>
      <c r="U86" s="11">
        <v>0</v>
      </c>
      <c r="V86" s="11">
        <v>0</v>
      </c>
      <c r="W86" s="11">
        <v>0</v>
      </c>
    </row>
    <row r="87" spans="1:23" ht="16.5" x14ac:dyDescent="0.25">
      <c r="A87" s="41"/>
      <c r="B87" s="41"/>
      <c r="C87" s="36" t="s">
        <v>68</v>
      </c>
      <c r="D87" s="36"/>
      <c r="E87" s="32" t="s">
        <v>40</v>
      </c>
      <c r="F87" s="33"/>
      <c r="G87" s="5">
        <v>2</v>
      </c>
      <c r="H87" s="5">
        <v>2</v>
      </c>
      <c r="I87" s="5">
        <v>2</v>
      </c>
      <c r="J87" s="5">
        <v>2</v>
      </c>
      <c r="K87" s="5">
        <v>2</v>
      </c>
      <c r="L87" s="5">
        <v>2</v>
      </c>
      <c r="M87" s="5">
        <v>2</v>
      </c>
      <c r="N87" s="5">
        <v>2</v>
      </c>
      <c r="O87" s="5">
        <v>2</v>
      </c>
      <c r="P87" s="5">
        <v>2</v>
      </c>
      <c r="Q87" s="5">
        <v>2</v>
      </c>
      <c r="R87" s="5">
        <v>2</v>
      </c>
      <c r="S87" s="11">
        <v>2</v>
      </c>
      <c r="T87" s="6">
        <v>0</v>
      </c>
      <c r="U87" s="11">
        <v>0</v>
      </c>
      <c r="V87" s="11">
        <v>0</v>
      </c>
      <c r="W87" s="11">
        <v>0</v>
      </c>
    </row>
    <row r="88" spans="1:23" ht="16.5" x14ac:dyDescent="0.25">
      <c r="A88" s="41"/>
      <c r="B88" s="41"/>
      <c r="C88" s="36" t="s">
        <v>69</v>
      </c>
      <c r="D88" s="36"/>
      <c r="E88" s="32" t="s">
        <v>41</v>
      </c>
      <c r="F88" s="33"/>
      <c r="G88" s="5">
        <v>2</v>
      </c>
      <c r="H88" s="5">
        <v>2</v>
      </c>
      <c r="I88" s="5">
        <v>2</v>
      </c>
      <c r="J88" s="5">
        <v>2</v>
      </c>
      <c r="K88" s="5">
        <v>2</v>
      </c>
      <c r="L88" s="5">
        <v>2</v>
      </c>
      <c r="M88" s="5">
        <v>2</v>
      </c>
      <c r="N88" s="5">
        <v>2</v>
      </c>
      <c r="O88" s="5">
        <v>2</v>
      </c>
      <c r="P88" s="5">
        <v>2</v>
      </c>
      <c r="Q88" s="5">
        <v>2</v>
      </c>
      <c r="R88" s="5">
        <v>2</v>
      </c>
      <c r="S88" s="11">
        <v>2</v>
      </c>
      <c r="T88" s="6">
        <v>0</v>
      </c>
      <c r="U88" s="11">
        <v>0</v>
      </c>
      <c r="V88" s="11">
        <v>0</v>
      </c>
      <c r="W88" s="11">
        <v>0</v>
      </c>
    </row>
    <row r="89" spans="1:23" ht="16.5" x14ac:dyDescent="0.25">
      <c r="A89" s="41"/>
      <c r="B89" s="41"/>
      <c r="C89" s="36" t="s">
        <v>70</v>
      </c>
      <c r="D89" s="36"/>
      <c r="E89" s="37" t="s">
        <v>42</v>
      </c>
      <c r="F89" s="37"/>
      <c r="G89" s="5">
        <v>2</v>
      </c>
      <c r="H89" s="5">
        <v>2</v>
      </c>
      <c r="I89" s="5">
        <v>2</v>
      </c>
      <c r="J89" s="5">
        <v>2</v>
      </c>
      <c r="K89" s="5">
        <v>2</v>
      </c>
      <c r="L89" s="5">
        <v>2</v>
      </c>
      <c r="M89" s="5">
        <v>2</v>
      </c>
      <c r="N89" s="5">
        <v>2</v>
      </c>
      <c r="O89" s="5">
        <v>2</v>
      </c>
      <c r="P89" s="5">
        <v>2</v>
      </c>
      <c r="Q89" s="5">
        <v>2</v>
      </c>
      <c r="R89" s="5">
        <v>2</v>
      </c>
      <c r="S89" s="11">
        <v>2</v>
      </c>
      <c r="T89" s="6">
        <v>0</v>
      </c>
      <c r="U89" s="11">
        <v>0</v>
      </c>
      <c r="V89" s="11">
        <v>0</v>
      </c>
      <c r="W89" s="11">
        <v>0</v>
      </c>
    </row>
    <row r="90" spans="1:23" ht="16.5" x14ac:dyDescent="0.25">
      <c r="A90" s="41"/>
      <c r="B90" s="41"/>
      <c r="C90" s="42" t="s">
        <v>71</v>
      </c>
      <c r="D90" s="43"/>
      <c r="E90" s="37" t="s">
        <v>43</v>
      </c>
      <c r="F90" s="37"/>
      <c r="G90" s="5">
        <v>2</v>
      </c>
      <c r="H90" s="5">
        <v>2</v>
      </c>
      <c r="I90" s="5">
        <v>2</v>
      </c>
      <c r="J90" s="5">
        <v>2</v>
      </c>
      <c r="K90" s="5">
        <v>2</v>
      </c>
      <c r="L90" s="5">
        <v>2</v>
      </c>
      <c r="M90" s="5">
        <v>2</v>
      </c>
      <c r="N90" s="5">
        <v>2</v>
      </c>
      <c r="O90" s="5">
        <v>2</v>
      </c>
      <c r="P90" s="5">
        <v>2</v>
      </c>
      <c r="Q90" s="5">
        <v>2</v>
      </c>
      <c r="R90" s="5">
        <v>2</v>
      </c>
      <c r="S90" s="11">
        <v>2</v>
      </c>
      <c r="T90" s="6">
        <v>0</v>
      </c>
      <c r="U90" s="11">
        <v>0</v>
      </c>
      <c r="V90" s="11">
        <v>0</v>
      </c>
      <c r="W90" s="11">
        <v>0</v>
      </c>
    </row>
    <row r="91" spans="1:23" ht="16.5" x14ac:dyDescent="0.25">
      <c r="A91" s="41"/>
      <c r="B91" s="41"/>
      <c r="C91" s="42" t="s">
        <v>72</v>
      </c>
      <c r="D91" s="43"/>
      <c r="E91" s="37" t="s">
        <v>44</v>
      </c>
      <c r="F91" s="37"/>
      <c r="G91" s="5">
        <f>H91+T92</f>
        <v>1</v>
      </c>
      <c r="H91" s="5">
        <v>2</v>
      </c>
      <c r="I91" s="11">
        <v>2</v>
      </c>
      <c r="J91" s="5">
        <v>2</v>
      </c>
      <c r="K91" s="11">
        <v>2</v>
      </c>
      <c r="L91" s="5">
        <v>2</v>
      </c>
      <c r="M91" s="11">
        <v>2</v>
      </c>
      <c r="N91" s="5">
        <v>2</v>
      </c>
      <c r="O91" s="11">
        <v>2</v>
      </c>
      <c r="P91" s="5">
        <v>2</v>
      </c>
      <c r="Q91" s="11">
        <v>2</v>
      </c>
      <c r="R91" s="5">
        <v>2</v>
      </c>
      <c r="S91" s="11">
        <v>2</v>
      </c>
      <c r="T91" s="6">
        <v>0</v>
      </c>
      <c r="U91" s="11">
        <v>0</v>
      </c>
      <c r="V91" s="11">
        <v>0</v>
      </c>
      <c r="W91" s="11">
        <v>0</v>
      </c>
    </row>
    <row r="92" spans="1:23" ht="16.5" x14ac:dyDescent="0.25">
      <c r="A92" s="41"/>
      <c r="B92" s="41"/>
      <c r="C92" s="32"/>
      <c r="D92" s="33"/>
      <c r="E92" s="32"/>
      <c r="F92" s="33"/>
      <c r="G92" s="5"/>
      <c r="H92" s="5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4">
        <v>-1</v>
      </c>
      <c r="U92" s="11"/>
      <c r="V92" s="11"/>
      <c r="W92" s="11"/>
    </row>
    <row r="93" spans="1:23" ht="16.5" x14ac:dyDescent="0.25">
      <c r="A93" s="41"/>
      <c r="B93" s="41"/>
      <c r="C93" s="42" t="s">
        <v>73</v>
      </c>
      <c r="D93" s="43"/>
      <c r="E93" s="32" t="s">
        <v>40</v>
      </c>
      <c r="F93" s="33"/>
      <c r="G93" s="5">
        <f>H93+T94</f>
        <v>1</v>
      </c>
      <c r="H93" s="5">
        <v>2</v>
      </c>
      <c r="I93" s="11">
        <v>2</v>
      </c>
      <c r="J93" s="5">
        <v>2</v>
      </c>
      <c r="K93" s="11">
        <v>2</v>
      </c>
      <c r="L93" s="5">
        <v>2</v>
      </c>
      <c r="M93" s="11">
        <v>2</v>
      </c>
      <c r="N93" s="5">
        <v>2</v>
      </c>
      <c r="O93" s="11">
        <v>2</v>
      </c>
      <c r="P93" s="5">
        <v>2</v>
      </c>
      <c r="Q93" s="11">
        <v>2</v>
      </c>
      <c r="R93" s="5">
        <v>2</v>
      </c>
      <c r="S93" s="11">
        <v>2</v>
      </c>
      <c r="T93" s="6">
        <v>0</v>
      </c>
      <c r="U93" s="11">
        <v>0</v>
      </c>
      <c r="V93" s="11">
        <v>0</v>
      </c>
      <c r="W93" s="11">
        <v>0</v>
      </c>
    </row>
    <row r="94" spans="1:23" ht="16.5" x14ac:dyDescent="0.25">
      <c r="A94" s="41"/>
      <c r="B94" s="41"/>
      <c r="C94" s="32"/>
      <c r="D94" s="33"/>
      <c r="E94" s="32"/>
      <c r="F94" s="33"/>
      <c r="G94" s="5"/>
      <c r="H94" s="5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4">
        <v>-1</v>
      </c>
      <c r="U94" s="11"/>
      <c r="V94" s="11"/>
      <c r="W94" s="11"/>
    </row>
    <row r="95" spans="1:23" ht="16.5" x14ac:dyDescent="0.25">
      <c r="A95" s="41"/>
      <c r="B95" s="41" t="s">
        <v>27</v>
      </c>
      <c r="C95" s="36" t="s">
        <v>66</v>
      </c>
      <c r="D95" s="36"/>
      <c r="E95" s="37" t="s">
        <v>43</v>
      </c>
      <c r="F95" s="37"/>
      <c r="G95" s="5">
        <v>2</v>
      </c>
      <c r="H95" s="5">
        <v>2</v>
      </c>
      <c r="I95" s="5">
        <v>2</v>
      </c>
      <c r="J95" s="5">
        <v>2</v>
      </c>
      <c r="K95" s="5">
        <v>2</v>
      </c>
      <c r="L95" s="5">
        <v>2</v>
      </c>
      <c r="M95" s="5">
        <v>2</v>
      </c>
      <c r="N95" s="5">
        <v>2</v>
      </c>
      <c r="O95" s="5">
        <v>2</v>
      </c>
      <c r="P95" s="5">
        <v>2</v>
      </c>
      <c r="Q95" s="5">
        <v>2</v>
      </c>
      <c r="R95" s="5">
        <v>2</v>
      </c>
      <c r="S95" s="5">
        <v>2</v>
      </c>
      <c r="T95" s="11">
        <v>2</v>
      </c>
      <c r="U95" s="6">
        <v>0</v>
      </c>
      <c r="V95" s="11">
        <v>0</v>
      </c>
      <c r="W95" s="11">
        <v>0</v>
      </c>
    </row>
    <row r="96" spans="1:23" ht="16.5" x14ac:dyDescent="0.25">
      <c r="A96" s="41"/>
      <c r="B96" s="41"/>
      <c r="C96" s="36" t="s">
        <v>67</v>
      </c>
      <c r="D96" s="36"/>
      <c r="E96" s="37" t="s">
        <v>44</v>
      </c>
      <c r="F96" s="37"/>
      <c r="G96" s="5">
        <v>2</v>
      </c>
      <c r="H96" s="5">
        <v>2</v>
      </c>
      <c r="I96" s="5">
        <v>2</v>
      </c>
      <c r="J96" s="5">
        <v>2</v>
      </c>
      <c r="K96" s="5">
        <v>2</v>
      </c>
      <c r="L96" s="5">
        <v>2</v>
      </c>
      <c r="M96" s="5">
        <v>2</v>
      </c>
      <c r="N96" s="5">
        <v>2</v>
      </c>
      <c r="O96" s="5">
        <v>2</v>
      </c>
      <c r="P96" s="5">
        <v>2</v>
      </c>
      <c r="Q96" s="5">
        <v>2</v>
      </c>
      <c r="R96" s="5">
        <v>2</v>
      </c>
      <c r="S96" s="5">
        <v>2</v>
      </c>
      <c r="T96" s="11">
        <v>2</v>
      </c>
      <c r="U96" s="6">
        <v>0</v>
      </c>
      <c r="V96" s="11">
        <v>0</v>
      </c>
      <c r="W96" s="11">
        <v>0</v>
      </c>
    </row>
    <row r="97" spans="1:23" ht="16.5" x14ac:dyDescent="0.25">
      <c r="A97" s="41"/>
      <c r="B97" s="41"/>
      <c r="C97" s="36" t="s">
        <v>142</v>
      </c>
      <c r="D97" s="36"/>
      <c r="E97" s="32" t="s">
        <v>40</v>
      </c>
      <c r="F97" s="33"/>
      <c r="G97" s="5">
        <v>2</v>
      </c>
      <c r="H97" s="5">
        <v>2</v>
      </c>
      <c r="I97" s="5">
        <v>2</v>
      </c>
      <c r="J97" s="5">
        <v>2</v>
      </c>
      <c r="K97" s="5">
        <v>2</v>
      </c>
      <c r="L97" s="5">
        <v>2</v>
      </c>
      <c r="M97" s="5">
        <v>2</v>
      </c>
      <c r="N97" s="5">
        <v>2</v>
      </c>
      <c r="O97" s="5">
        <v>2</v>
      </c>
      <c r="P97" s="5">
        <v>2</v>
      </c>
      <c r="Q97" s="5">
        <v>2</v>
      </c>
      <c r="R97" s="5">
        <v>2</v>
      </c>
      <c r="S97" s="5">
        <v>2</v>
      </c>
      <c r="T97" s="11">
        <v>2</v>
      </c>
      <c r="U97" s="6">
        <v>0</v>
      </c>
      <c r="V97" s="11">
        <v>0</v>
      </c>
      <c r="W97" s="11">
        <v>0</v>
      </c>
    </row>
    <row r="98" spans="1:23" ht="16.5" x14ac:dyDescent="0.25">
      <c r="A98" s="41"/>
      <c r="B98" s="41"/>
      <c r="C98" s="42" t="s">
        <v>133</v>
      </c>
      <c r="D98" s="43"/>
      <c r="E98" s="37" t="s">
        <v>41</v>
      </c>
      <c r="F98" s="37"/>
      <c r="G98" s="5">
        <v>2</v>
      </c>
      <c r="H98" s="5">
        <v>2</v>
      </c>
      <c r="I98" s="5">
        <v>2</v>
      </c>
      <c r="J98" s="5">
        <v>2</v>
      </c>
      <c r="K98" s="5">
        <v>2</v>
      </c>
      <c r="L98" s="5">
        <v>2</v>
      </c>
      <c r="M98" s="5">
        <v>2</v>
      </c>
      <c r="N98" s="5">
        <v>2</v>
      </c>
      <c r="O98" s="5">
        <v>2</v>
      </c>
      <c r="P98" s="5">
        <v>2</v>
      </c>
      <c r="Q98" s="5">
        <v>2</v>
      </c>
      <c r="R98" s="5">
        <v>2</v>
      </c>
      <c r="S98" s="5">
        <v>2</v>
      </c>
      <c r="T98" s="11">
        <v>2</v>
      </c>
      <c r="U98" s="6">
        <v>0</v>
      </c>
      <c r="V98" s="11">
        <v>0</v>
      </c>
      <c r="W98" s="11">
        <v>0</v>
      </c>
    </row>
    <row r="99" spans="1:23" ht="16.5" x14ac:dyDescent="0.25">
      <c r="A99" s="41"/>
      <c r="B99" s="41"/>
      <c r="C99" s="36" t="s">
        <v>68</v>
      </c>
      <c r="D99" s="36"/>
      <c r="E99" s="37" t="s">
        <v>42</v>
      </c>
      <c r="F99" s="37"/>
      <c r="G99" s="5">
        <v>2</v>
      </c>
      <c r="H99" s="5">
        <v>2</v>
      </c>
      <c r="I99" s="5">
        <v>2</v>
      </c>
      <c r="J99" s="5">
        <v>2</v>
      </c>
      <c r="K99" s="5">
        <v>2</v>
      </c>
      <c r="L99" s="5">
        <v>2</v>
      </c>
      <c r="M99" s="5">
        <v>2</v>
      </c>
      <c r="N99" s="5">
        <v>2</v>
      </c>
      <c r="O99" s="5">
        <v>2</v>
      </c>
      <c r="P99" s="5">
        <v>2</v>
      </c>
      <c r="Q99" s="5">
        <v>2</v>
      </c>
      <c r="R99" s="5">
        <v>2</v>
      </c>
      <c r="S99" s="5">
        <v>2</v>
      </c>
      <c r="T99" s="11">
        <v>2</v>
      </c>
      <c r="U99" s="6">
        <v>0</v>
      </c>
      <c r="V99" s="11">
        <v>0</v>
      </c>
      <c r="W99" s="11">
        <v>0</v>
      </c>
    </row>
    <row r="100" spans="1:23" ht="16.5" x14ac:dyDescent="0.25">
      <c r="A100" s="41"/>
      <c r="B100" s="41"/>
      <c r="C100" s="36" t="s">
        <v>69</v>
      </c>
      <c r="D100" s="36"/>
      <c r="E100" s="37" t="s">
        <v>43</v>
      </c>
      <c r="F100" s="37"/>
      <c r="G100" s="5">
        <v>2</v>
      </c>
      <c r="H100" s="5">
        <v>2</v>
      </c>
      <c r="I100" s="5">
        <v>2</v>
      </c>
      <c r="J100" s="5">
        <v>2</v>
      </c>
      <c r="K100" s="5">
        <v>2</v>
      </c>
      <c r="L100" s="5">
        <v>2</v>
      </c>
      <c r="M100" s="5">
        <v>2</v>
      </c>
      <c r="N100" s="5">
        <v>2</v>
      </c>
      <c r="O100" s="5">
        <v>2</v>
      </c>
      <c r="P100" s="5">
        <v>2</v>
      </c>
      <c r="Q100" s="5">
        <v>2</v>
      </c>
      <c r="R100" s="5">
        <v>2</v>
      </c>
      <c r="S100" s="5">
        <v>2</v>
      </c>
      <c r="T100" s="11">
        <v>2</v>
      </c>
      <c r="U100" s="6">
        <v>0</v>
      </c>
      <c r="V100" s="11">
        <v>0</v>
      </c>
      <c r="W100" s="11">
        <v>0</v>
      </c>
    </row>
    <row r="101" spans="1:23" ht="16.5" x14ac:dyDescent="0.25">
      <c r="A101" s="41"/>
      <c r="B101" s="41"/>
      <c r="C101" s="36" t="s">
        <v>70</v>
      </c>
      <c r="D101" s="36"/>
      <c r="E101" s="37" t="s">
        <v>44</v>
      </c>
      <c r="F101" s="37"/>
      <c r="G101" s="5">
        <v>2</v>
      </c>
      <c r="H101" s="5">
        <v>2</v>
      </c>
      <c r="I101" s="5">
        <v>2</v>
      </c>
      <c r="J101" s="5">
        <v>2</v>
      </c>
      <c r="K101" s="5">
        <v>2</v>
      </c>
      <c r="L101" s="5">
        <v>2</v>
      </c>
      <c r="M101" s="5">
        <v>2</v>
      </c>
      <c r="N101" s="5">
        <v>2</v>
      </c>
      <c r="O101" s="5">
        <v>2</v>
      </c>
      <c r="P101" s="5">
        <v>2</v>
      </c>
      <c r="Q101" s="5">
        <v>2</v>
      </c>
      <c r="R101" s="5">
        <v>2</v>
      </c>
      <c r="S101" s="5">
        <v>2</v>
      </c>
      <c r="T101" s="11">
        <v>2</v>
      </c>
      <c r="U101" s="6">
        <v>0</v>
      </c>
      <c r="V101" s="11">
        <v>0</v>
      </c>
      <c r="W101" s="11">
        <v>0</v>
      </c>
    </row>
    <row r="102" spans="1:23" ht="16.5" x14ac:dyDescent="0.25">
      <c r="A102" s="41"/>
      <c r="B102" s="41"/>
      <c r="C102" s="42" t="s">
        <v>71</v>
      </c>
      <c r="D102" s="43"/>
      <c r="E102" s="32" t="s">
        <v>40</v>
      </c>
      <c r="F102" s="33"/>
      <c r="G102" s="5">
        <v>2</v>
      </c>
      <c r="H102" s="5">
        <v>2</v>
      </c>
      <c r="I102" s="5">
        <v>2</v>
      </c>
      <c r="J102" s="5">
        <v>2</v>
      </c>
      <c r="K102" s="5">
        <v>2</v>
      </c>
      <c r="L102" s="5">
        <v>2</v>
      </c>
      <c r="M102" s="5">
        <v>2</v>
      </c>
      <c r="N102" s="5">
        <v>2</v>
      </c>
      <c r="O102" s="5">
        <v>2</v>
      </c>
      <c r="P102" s="5">
        <v>2</v>
      </c>
      <c r="Q102" s="5">
        <v>2</v>
      </c>
      <c r="R102" s="5">
        <v>2</v>
      </c>
      <c r="S102" s="5">
        <v>2</v>
      </c>
      <c r="T102" s="11">
        <v>2</v>
      </c>
      <c r="U102" s="6">
        <v>0</v>
      </c>
      <c r="V102" s="11">
        <v>0</v>
      </c>
      <c r="W102" s="11">
        <v>0</v>
      </c>
    </row>
    <row r="103" spans="1:23" ht="16.5" x14ac:dyDescent="0.25">
      <c r="A103" s="41"/>
      <c r="B103" s="41"/>
      <c r="C103" s="42" t="s">
        <v>72</v>
      </c>
      <c r="D103" s="43"/>
      <c r="E103" s="37" t="s">
        <v>41</v>
      </c>
      <c r="F103" s="37"/>
      <c r="G103" s="5">
        <v>2</v>
      </c>
      <c r="H103" s="5">
        <v>2</v>
      </c>
      <c r="I103" s="5">
        <v>2</v>
      </c>
      <c r="J103" s="5">
        <v>2</v>
      </c>
      <c r="K103" s="5">
        <v>2</v>
      </c>
      <c r="L103" s="5">
        <v>2</v>
      </c>
      <c r="M103" s="5">
        <v>2</v>
      </c>
      <c r="N103" s="5">
        <v>2</v>
      </c>
      <c r="O103" s="5">
        <v>2</v>
      </c>
      <c r="P103" s="5">
        <v>2</v>
      </c>
      <c r="Q103" s="5">
        <v>2</v>
      </c>
      <c r="R103" s="5">
        <v>2</v>
      </c>
      <c r="S103" s="5">
        <v>2</v>
      </c>
      <c r="T103" s="11">
        <v>2</v>
      </c>
      <c r="U103" s="6">
        <v>0</v>
      </c>
      <c r="V103" s="11">
        <v>0</v>
      </c>
      <c r="W103" s="11">
        <v>0</v>
      </c>
    </row>
    <row r="104" spans="1:23" ht="16.5" x14ac:dyDescent="0.25">
      <c r="A104" s="41"/>
      <c r="B104" s="41"/>
      <c r="C104" s="42" t="s">
        <v>73</v>
      </c>
      <c r="D104" s="43"/>
      <c r="E104" s="37" t="s">
        <v>42</v>
      </c>
      <c r="F104" s="37"/>
      <c r="G104" s="5">
        <v>2</v>
      </c>
      <c r="H104" s="5">
        <v>2</v>
      </c>
      <c r="I104" s="5">
        <v>2</v>
      </c>
      <c r="J104" s="5">
        <v>2</v>
      </c>
      <c r="K104" s="5">
        <v>2</v>
      </c>
      <c r="L104" s="5">
        <v>2</v>
      </c>
      <c r="M104" s="5">
        <v>2</v>
      </c>
      <c r="N104" s="5">
        <v>2</v>
      </c>
      <c r="O104" s="5">
        <v>2</v>
      </c>
      <c r="P104" s="5">
        <v>2</v>
      </c>
      <c r="Q104" s="5">
        <v>2</v>
      </c>
      <c r="R104" s="5">
        <v>2</v>
      </c>
      <c r="S104" s="5">
        <v>2</v>
      </c>
      <c r="T104" s="11">
        <v>2</v>
      </c>
      <c r="U104" s="6">
        <v>0</v>
      </c>
      <c r="V104" s="11">
        <v>0</v>
      </c>
      <c r="W104" s="11">
        <v>0</v>
      </c>
    </row>
    <row r="105" spans="1:23" ht="16.5" x14ac:dyDescent="0.25">
      <c r="A105" s="41"/>
      <c r="B105" s="41" t="s">
        <v>129</v>
      </c>
      <c r="C105" s="36" t="s">
        <v>90</v>
      </c>
      <c r="D105" s="36"/>
      <c r="E105" s="44" t="s">
        <v>19</v>
      </c>
      <c r="F105" s="44"/>
      <c r="G105" s="5">
        <f>H105+V106</f>
        <v>5</v>
      </c>
      <c r="H105" s="5">
        <v>10</v>
      </c>
      <c r="I105" s="5">
        <v>10</v>
      </c>
      <c r="J105" s="5">
        <v>10</v>
      </c>
      <c r="K105" s="5">
        <v>10</v>
      </c>
      <c r="L105" s="5">
        <v>10</v>
      </c>
      <c r="M105" s="5">
        <v>10</v>
      </c>
      <c r="N105" s="5">
        <v>10</v>
      </c>
      <c r="O105" s="5">
        <v>10</v>
      </c>
      <c r="P105" s="5">
        <v>10</v>
      </c>
      <c r="Q105" s="5">
        <v>10</v>
      </c>
      <c r="R105" s="5">
        <v>10</v>
      </c>
      <c r="S105" s="5">
        <v>10</v>
      </c>
      <c r="T105" s="5">
        <v>10</v>
      </c>
      <c r="U105" s="5">
        <v>10</v>
      </c>
      <c r="V105" s="6">
        <v>0</v>
      </c>
      <c r="W105" s="5">
        <v>0</v>
      </c>
    </row>
    <row r="106" spans="1:23" ht="16.5" x14ac:dyDescent="0.25">
      <c r="A106" s="41"/>
      <c r="B106" s="41"/>
      <c r="C106" s="32"/>
      <c r="D106" s="33"/>
      <c r="E106" s="47"/>
      <c r="F106" s="48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4">
        <v>-5</v>
      </c>
      <c r="W106" s="5"/>
    </row>
    <row r="107" spans="1:23" ht="16.5" x14ac:dyDescent="0.25">
      <c r="A107" s="41"/>
      <c r="B107" s="41"/>
      <c r="C107" s="36" t="s">
        <v>91</v>
      </c>
      <c r="D107" s="36"/>
      <c r="E107" s="44" t="s">
        <v>19</v>
      </c>
      <c r="F107" s="44"/>
      <c r="G107" s="5">
        <v>10</v>
      </c>
      <c r="H107" s="5">
        <v>10</v>
      </c>
      <c r="I107" s="5">
        <v>10</v>
      </c>
      <c r="J107" s="5">
        <v>10</v>
      </c>
      <c r="K107" s="5">
        <v>10</v>
      </c>
      <c r="L107" s="5">
        <v>10</v>
      </c>
      <c r="M107" s="5">
        <v>10</v>
      </c>
      <c r="N107" s="5">
        <v>10</v>
      </c>
      <c r="O107" s="5">
        <v>10</v>
      </c>
      <c r="P107" s="5">
        <v>10</v>
      </c>
      <c r="Q107" s="5">
        <v>10</v>
      </c>
      <c r="R107" s="5">
        <v>10</v>
      </c>
      <c r="S107" s="5">
        <v>10</v>
      </c>
      <c r="T107" s="5">
        <v>10</v>
      </c>
      <c r="U107" s="5">
        <v>10</v>
      </c>
      <c r="V107" s="5">
        <v>10</v>
      </c>
      <c r="W107" s="6">
        <v>0</v>
      </c>
    </row>
    <row r="108" spans="1:23" ht="16.5" x14ac:dyDescent="0.25">
      <c r="A108" s="41"/>
      <c r="B108" s="45" t="s">
        <v>13</v>
      </c>
      <c r="C108" s="45"/>
      <c r="D108" s="45"/>
      <c r="E108" s="46" t="s">
        <v>11</v>
      </c>
      <c r="F108" s="46"/>
      <c r="G108" s="46">
        <f>SUM(G16:G107)</f>
        <v>218</v>
      </c>
      <c r="H108" s="46"/>
      <c r="I108" s="5">
        <f t="shared" ref="I108:W108" si="0">SUM(I16:I107)</f>
        <v>218</v>
      </c>
      <c r="J108" s="5">
        <f t="shared" si="0"/>
        <v>210</v>
      </c>
      <c r="K108" s="5">
        <f t="shared" si="0"/>
        <v>178</v>
      </c>
      <c r="L108" s="5">
        <f t="shared" si="0"/>
        <v>148</v>
      </c>
      <c r="M108" s="5">
        <f t="shared" si="0"/>
        <v>141</v>
      </c>
      <c r="N108" s="5">
        <f t="shared" si="0"/>
        <v>130</v>
      </c>
      <c r="O108" s="5">
        <f t="shared" si="0"/>
        <v>130</v>
      </c>
      <c r="P108" s="5">
        <f t="shared" si="0"/>
        <v>111</v>
      </c>
      <c r="Q108" s="5">
        <f t="shared" si="0"/>
        <v>110</v>
      </c>
      <c r="R108" s="5">
        <f t="shared" si="0"/>
        <v>81</v>
      </c>
      <c r="S108" s="5">
        <f t="shared" si="0"/>
        <v>60</v>
      </c>
      <c r="T108" s="5">
        <f t="shared" si="0"/>
        <v>38</v>
      </c>
      <c r="U108" s="5">
        <f t="shared" si="0"/>
        <v>20</v>
      </c>
      <c r="V108" s="5">
        <f t="shared" si="0"/>
        <v>5</v>
      </c>
      <c r="W108" s="5">
        <f t="shared" si="0"/>
        <v>0</v>
      </c>
    </row>
    <row r="109" spans="1:23" ht="16.5" x14ac:dyDescent="0.25">
      <c r="A109" s="41"/>
      <c r="B109" s="45"/>
      <c r="C109" s="45"/>
      <c r="D109" s="45"/>
      <c r="E109" s="46" t="s">
        <v>12</v>
      </c>
      <c r="F109" s="46"/>
      <c r="G109" s="46">
        <f>SUM(H16:H107)</f>
        <v>228</v>
      </c>
      <c r="H109" s="46"/>
      <c r="I109" s="5">
        <f>G109-H16</f>
        <v>218</v>
      </c>
      <c r="J109" s="5">
        <f>I109-SUM(H17:H18)</f>
        <v>210</v>
      </c>
      <c r="K109" s="5">
        <f>J109-SUM(H19:H31)</f>
        <v>180</v>
      </c>
      <c r="L109" s="5">
        <f>K109-SUM(H32:H44)</f>
        <v>150</v>
      </c>
      <c r="M109" s="5">
        <f>L109-SUM(H45:H50)</f>
        <v>140</v>
      </c>
      <c r="N109" s="5">
        <f>M109-SUM(H51:H57)</f>
        <v>130</v>
      </c>
      <c r="O109" s="5">
        <f>N109</f>
        <v>130</v>
      </c>
      <c r="P109" s="5">
        <f>O109-SUM(H58:H63)</f>
        <v>110</v>
      </c>
      <c r="Q109" s="5">
        <f>P109</f>
        <v>110</v>
      </c>
      <c r="R109" s="5">
        <f>Q109-SUM(H64:H72)</f>
        <v>80</v>
      </c>
      <c r="S109" s="5">
        <f>R109-SUM(H73:H82)</f>
        <v>60</v>
      </c>
      <c r="T109" s="5">
        <f>S109-SUM(H83:H94)</f>
        <v>40</v>
      </c>
      <c r="U109" s="5">
        <f>T109-SUM(H95:H104)</f>
        <v>20</v>
      </c>
      <c r="V109" s="5">
        <f>U109-SUM(H105:H106)</f>
        <v>10</v>
      </c>
      <c r="W109" s="5">
        <f>V109-G107</f>
        <v>0</v>
      </c>
    </row>
  </sheetData>
  <mergeCells count="203">
    <mergeCell ref="C54:D54"/>
    <mergeCell ref="E54:F54"/>
    <mergeCell ref="C56:D56"/>
    <mergeCell ref="E56:F56"/>
    <mergeCell ref="C57:D57"/>
    <mergeCell ref="E57:F57"/>
    <mergeCell ref="C71:D71"/>
    <mergeCell ref="C59:D59"/>
    <mergeCell ref="E59:F59"/>
    <mergeCell ref="E65:F65"/>
    <mergeCell ref="C65:D65"/>
    <mergeCell ref="E71:F71"/>
    <mergeCell ref="C58:D58"/>
    <mergeCell ref="E58:F58"/>
    <mergeCell ref="C60:D60"/>
    <mergeCell ref="E60:F60"/>
    <mergeCell ref="C61:D61"/>
    <mergeCell ref="E61:F61"/>
    <mergeCell ref="C98:D98"/>
    <mergeCell ref="E98:F98"/>
    <mergeCell ref="E70:F70"/>
    <mergeCell ref="C70:D70"/>
    <mergeCell ref="G108:H108"/>
    <mergeCell ref="E109:F109"/>
    <mergeCell ref="G109:H109"/>
    <mergeCell ref="B108:D109"/>
    <mergeCell ref="E108:F108"/>
    <mergeCell ref="E102:F102"/>
    <mergeCell ref="B95:B104"/>
    <mergeCell ref="C95:D95"/>
    <mergeCell ref="E95:F95"/>
    <mergeCell ref="C96:D96"/>
    <mergeCell ref="E96:F96"/>
    <mergeCell ref="C97:D97"/>
    <mergeCell ref="E97:F97"/>
    <mergeCell ref="C99:D99"/>
    <mergeCell ref="C90:D90"/>
    <mergeCell ref="B83:B94"/>
    <mergeCell ref="C83:D83"/>
    <mergeCell ref="E83:F83"/>
    <mergeCell ref="E29:F29"/>
    <mergeCell ref="C29:D29"/>
    <mergeCell ref="E41:F41"/>
    <mergeCell ref="C41:D41"/>
    <mergeCell ref="C47:D47"/>
    <mergeCell ref="E47:F47"/>
    <mergeCell ref="C75:D75"/>
    <mergeCell ref="B105:B107"/>
    <mergeCell ref="C105:D105"/>
    <mergeCell ref="E105:F105"/>
    <mergeCell ref="C107:D107"/>
    <mergeCell ref="E107:F107"/>
    <mergeCell ref="C103:D103"/>
    <mergeCell ref="E103:F103"/>
    <mergeCell ref="C104:D104"/>
    <mergeCell ref="E104:F104"/>
    <mergeCell ref="E99:F99"/>
    <mergeCell ref="C100:D100"/>
    <mergeCell ref="E100:F100"/>
    <mergeCell ref="C101:D101"/>
    <mergeCell ref="E101:F101"/>
    <mergeCell ref="C102:D102"/>
    <mergeCell ref="C84:D84"/>
    <mergeCell ref="E84:F84"/>
    <mergeCell ref="C85:D85"/>
    <mergeCell ref="E90:F90"/>
    <mergeCell ref="C91:D91"/>
    <mergeCell ref="E91:F91"/>
    <mergeCell ref="C93:D93"/>
    <mergeCell ref="E93:F93"/>
    <mergeCell ref="E85:F85"/>
    <mergeCell ref="C86:D86"/>
    <mergeCell ref="E86:F86"/>
    <mergeCell ref="C88:D88"/>
    <mergeCell ref="E88:F88"/>
    <mergeCell ref="C89:D89"/>
    <mergeCell ref="E89:F89"/>
    <mergeCell ref="C87:D87"/>
    <mergeCell ref="E87:F87"/>
    <mergeCell ref="E78:F78"/>
    <mergeCell ref="C79:D79"/>
    <mergeCell ref="E79:F79"/>
    <mergeCell ref="C80:D80"/>
    <mergeCell ref="E80:F80"/>
    <mergeCell ref="C81:D81"/>
    <mergeCell ref="E81:F81"/>
    <mergeCell ref="B73:B82"/>
    <mergeCell ref="C73:D73"/>
    <mergeCell ref="E73:F73"/>
    <mergeCell ref="C74:D74"/>
    <mergeCell ref="E74:F74"/>
    <mergeCell ref="C76:D76"/>
    <mergeCell ref="E76:F76"/>
    <mergeCell ref="C77:D77"/>
    <mergeCell ref="E77:F77"/>
    <mergeCell ref="C78:D78"/>
    <mergeCell ref="C82:D82"/>
    <mergeCell ref="E82:F82"/>
    <mergeCell ref="E75:F75"/>
    <mergeCell ref="C53:D53"/>
    <mergeCell ref="E53:F53"/>
    <mergeCell ref="B45:B72"/>
    <mergeCell ref="C45:D45"/>
    <mergeCell ref="E45:F45"/>
    <mergeCell ref="C48:D48"/>
    <mergeCell ref="E48:F48"/>
    <mergeCell ref="C49:D49"/>
    <mergeCell ref="E49:F49"/>
    <mergeCell ref="C50:D50"/>
    <mergeCell ref="C72:D72"/>
    <mergeCell ref="E72:F72"/>
    <mergeCell ref="C66:D66"/>
    <mergeCell ref="E66:F66"/>
    <mergeCell ref="C67:D67"/>
    <mergeCell ref="E67:F67"/>
    <mergeCell ref="C68:D68"/>
    <mergeCell ref="E68:F68"/>
    <mergeCell ref="C62:D62"/>
    <mergeCell ref="E62:F62"/>
    <mergeCell ref="C63:D63"/>
    <mergeCell ref="E63:F63"/>
    <mergeCell ref="C64:D64"/>
    <mergeCell ref="E64:F64"/>
    <mergeCell ref="E39:F39"/>
    <mergeCell ref="C40:D40"/>
    <mergeCell ref="E40:F40"/>
    <mergeCell ref="C42:D42"/>
    <mergeCell ref="E42:F42"/>
    <mergeCell ref="E50:F50"/>
    <mergeCell ref="C51:D51"/>
    <mergeCell ref="E51:F51"/>
    <mergeCell ref="C52:D52"/>
    <mergeCell ref="E52:F52"/>
    <mergeCell ref="C46:D46"/>
    <mergeCell ref="E46:F46"/>
    <mergeCell ref="C27:D27"/>
    <mergeCell ref="E27:F27"/>
    <mergeCell ref="C28:D28"/>
    <mergeCell ref="E28:F28"/>
    <mergeCell ref="C30:D30"/>
    <mergeCell ref="E30:F30"/>
    <mergeCell ref="B32:B44"/>
    <mergeCell ref="C32:D32"/>
    <mergeCell ref="E32:F32"/>
    <mergeCell ref="C34:D34"/>
    <mergeCell ref="E34:F34"/>
    <mergeCell ref="C36:D36"/>
    <mergeCell ref="E36:F36"/>
    <mergeCell ref="C37:D37"/>
    <mergeCell ref="E37:F37"/>
    <mergeCell ref="C38:D38"/>
    <mergeCell ref="C43:D43"/>
    <mergeCell ref="E43:F43"/>
    <mergeCell ref="C44:D44"/>
    <mergeCell ref="E44:F44"/>
    <mergeCell ref="E38:F38"/>
    <mergeCell ref="C39:D39"/>
    <mergeCell ref="A16:A109"/>
    <mergeCell ref="B16:D16"/>
    <mergeCell ref="E16:F16"/>
    <mergeCell ref="B17:D17"/>
    <mergeCell ref="E17:F17"/>
    <mergeCell ref="B18:D18"/>
    <mergeCell ref="E18:F18"/>
    <mergeCell ref="B19:B31"/>
    <mergeCell ref="C24:D24"/>
    <mergeCell ref="E24:F24"/>
    <mergeCell ref="C25:D25"/>
    <mergeCell ref="E25:F25"/>
    <mergeCell ref="C26:D26"/>
    <mergeCell ref="E26:F26"/>
    <mergeCell ref="C19:D19"/>
    <mergeCell ref="E19:F19"/>
    <mergeCell ref="C21:D21"/>
    <mergeCell ref="E21:F21"/>
    <mergeCell ref="C23:D23"/>
    <mergeCell ref="E23:F23"/>
    <mergeCell ref="C31:D31"/>
    <mergeCell ref="E31:F31"/>
    <mergeCell ref="A1:B1"/>
    <mergeCell ref="A2:B2"/>
    <mergeCell ref="A3:B3"/>
    <mergeCell ref="A4:B4"/>
    <mergeCell ref="B6:E6"/>
    <mergeCell ref="B13:C13"/>
    <mergeCell ref="C55:D55"/>
    <mergeCell ref="E55:F55"/>
    <mergeCell ref="C106:D106"/>
    <mergeCell ref="E106:F106"/>
    <mergeCell ref="C94:D94"/>
    <mergeCell ref="C92:D92"/>
    <mergeCell ref="E92:F92"/>
    <mergeCell ref="E94:F94"/>
    <mergeCell ref="E20:F20"/>
    <mergeCell ref="C20:D20"/>
    <mergeCell ref="E22:F22"/>
    <mergeCell ref="C22:D22"/>
    <mergeCell ref="E33:F33"/>
    <mergeCell ref="C33:D33"/>
    <mergeCell ref="C35:D35"/>
    <mergeCell ref="E35:F35"/>
    <mergeCell ref="C15:D15"/>
    <mergeCell ref="E15:F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tabSelected="1" zoomScale="55" zoomScaleNormal="55" workbookViewId="0">
      <selection activeCell="AG21" sqref="AG21"/>
    </sheetView>
  </sheetViews>
  <sheetFormatPr defaultRowHeight="15" x14ac:dyDescent="0.25"/>
  <cols>
    <col min="2" max="2" width="14.7109375" customWidth="1"/>
    <col min="3" max="3" width="45.140625" customWidth="1"/>
    <col min="4" max="4" width="17.5703125" customWidth="1"/>
    <col min="5" max="5" width="14.5703125" customWidth="1"/>
    <col min="6" max="6" width="14.85546875" customWidth="1"/>
  </cols>
  <sheetData>
    <row r="1" spans="1:23" ht="39" customHeight="1" x14ac:dyDescent="0.25">
      <c r="A1" s="34" t="s">
        <v>0</v>
      </c>
      <c r="B1" s="34"/>
      <c r="C1" s="16" t="s">
        <v>132</v>
      </c>
      <c r="D1" s="1"/>
      <c r="E1" s="6"/>
      <c r="F1" s="18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6.5" x14ac:dyDescent="0.25">
      <c r="A2" s="34" t="s">
        <v>2</v>
      </c>
      <c r="B2" s="34"/>
      <c r="C2" s="5" t="s">
        <v>98</v>
      </c>
      <c r="D2" s="1"/>
      <c r="E2" s="12"/>
      <c r="F2" s="19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3" x14ac:dyDescent="0.25">
      <c r="A3" s="34" t="s">
        <v>5</v>
      </c>
      <c r="B3" s="34"/>
      <c r="C3" s="17">
        <f>I15</f>
        <v>46132</v>
      </c>
      <c r="D3" s="1"/>
      <c r="E3" s="21"/>
      <c r="F3" s="20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6.5" x14ac:dyDescent="0.25">
      <c r="A4" s="34" t="s">
        <v>7</v>
      </c>
      <c r="B4" s="34"/>
      <c r="C4" s="17">
        <f>W15</f>
        <v>46146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6.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6.5" x14ac:dyDescent="0.25">
      <c r="A6" s="1"/>
      <c r="B6" s="35" t="s">
        <v>145</v>
      </c>
      <c r="C6" s="35"/>
      <c r="D6" s="35"/>
      <c r="E6" s="3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6.5" x14ac:dyDescent="0.25">
      <c r="A7" s="1"/>
      <c r="B7" s="15" t="s">
        <v>9</v>
      </c>
      <c r="C7" s="15" t="s">
        <v>10</v>
      </c>
      <c r="D7" s="15" t="s">
        <v>11</v>
      </c>
      <c r="E7" s="15" t="s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6.5" x14ac:dyDescent="0.25">
      <c r="A8" s="1"/>
      <c r="B8" s="13">
        <v>1</v>
      </c>
      <c r="C8" s="13" t="s">
        <v>44</v>
      </c>
      <c r="D8" s="5">
        <f>SUMIF(E16:E98,"Đức",G16:G98)+SUMIF(E16:E98,"All team",G16:G98)/5</f>
        <v>55</v>
      </c>
      <c r="E8" s="5">
        <f>SUMIF(E16:E98,"Đức",H16:H98)+SUMIF(E16:E98,"All team",H16:H98)/5</f>
        <v>60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6.5" x14ac:dyDescent="0.25">
      <c r="A9" s="1"/>
      <c r="B9" s="13">
        <v>2</v>
      </c>
      <c r="C9" s="13" t="s">
        <v>42</v>
      </c>
      <c r="D9" s="5">
        <f>SUMIF(E16:E98,"Tiên",G16:G98)+SUMIF(E16:E98,"All team",G16:G98)/5+SUMIF(E16:E98,"Tiên, Vũ",G16:G98)/2</f>
        <v>33</v>
      </c>
      <c r="E9" s="5">
        <f>SUMIF(E16:E98,"Tiên",H16:H98)+SUMIF(E16:E98,"All team",H16:H98)/5+SUMIF(E16:E98,"Tiên, Vũ",H16:H98)/2</f>
        <v>40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6.5" x14ac:dyDescent="0.25">
      <c r="A10" s="1"/>
      <c r="B10" s="13">
        <v>3</v>
      </c>
      <c r="C10" s="13" t="s">
        <v>43</v>
      </c>
      <c r="D10" s="5">
        <f>SUMIF(E16:E98,"Vũ",G16:G98)+SUMIF(E16:E98,"All team",G16:G98)/5+SUMIF(E16:E98,"Tiên, Vũ",G16:G98)/2</f>
        <v>39</v>
      </c>
      <c r="E10" s="5">
        <f>SUMIF(E16:E98,"Vũ",H16:H98)+SUMIF(E16:E98,"All team",H16:H98)/5+SUMIF(E16:E98,"Tiên, Vũ",H16:H98)/2</f>
        <v>42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6.5" x14ac:dyDescent="0.25">
      <c r="A11" s="1"/>
      <c r="B11" s="13">
        <v>4</v>
      </c>
      <c r="C11" s="13" t="s">
        <v>40</v>
      </c>
      <c r="D11" s="5">
        <f>SUMIF(E16:E98,"Nguyên",G16:G98)+SUMIF(E16:E98,"All team",G16:G98)/5+SUMIF(E16:E98,"Nguyên, Nhã",G16:G98)/2</f>
        <v>62</v>
      </c>
      <c r="E11" s="5">
        <f>SUMIF(E16:E98,"Nguyên",H16:H98)+SUMIF(E16:E98,"All team",H16:H98)/5+SUMIF(E16:E98,"Nguyên, Nhã",H16:H98)/2</f>
        <v>60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6.5" x14ac:dyDescent="0.25">
      <c r="A12" s="1"/>
      <c r="B12" s="13">
        <v>5</v>
      </c>
      <c r="C12" s="13" t="s">
        <v>41</v>
      </c>
      <c r="D12" s="5">
        <f>SUMIF(E16:E98,"Nhã",G16:G98)+SUMIF(E16:E98,"All team",G16:G98)/5+SUMIF(E16:E98,"Nguyên, Nhã",G16:G98)/2</f>
        <v>34</v>
      </c>
      <c r="E12" s="5">
        <f>SUMIF(E16:E98,"Nhã",H16:H98)+SUMIF(E16:E98,"All team",H16:H98)/5+SUMIF(E16:E98,"Nguyên, Nhã",H16:H98)/2</f>
        <v>36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6.5" x14ac:dyDescent="0.25">
      <c r="A13" s="1"/>
      <c r="B13" s="35" t="s">
        <v>13</v>
      </c>
      <c r="C13" s="35"/>
      <c r="D13" s="2">
        <f>SUM(D8:D12)</f>
        <v>223</v>
      </c>
      <c r="E13" s="2">
        <f>SUM(E8:E12)</f>
        <v>238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6.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37.5" x14ac:dyDescent="0.25">
      <c r="A15" s="2" t="s">
        <v>14</v>
      </c>
      <c r="B15" s="2" t="s">
        <v>15</v>
      </c>
      <c r="C15" s="35" t="s">
        <v>16</v>
      </c>
      <c r="D15" s="35"/>
      <c r="E15" s="35" t="s">
        <v>17</v>
      </c>
      <c r="F15" s="35"/>
      <c r="G15" s="3" t="s">
        <v>11</v>
      </c>
      <c r="H15" s="3" t="s">
        <v>12</v>
      </c>
      <c r="I15" s="4">
        <v>46132</v>
      </c>
      <c r="J15" s="4">
        <v>46133</v>
      </c>
      <c r="K15" s="4">
        <v>46134</v>
      </c>
      <c r="L15" s="4">
        <v>46135</v>
      </c>
      <c r="M15" s="4">
        <v>46136</v>
      </c>
      <c r="N15" s="4">
        <v>46137</v>
      </c>
      <c r="O15" s="4">
        <v>46138</v>
      </c>
      <c r="P15" s="4">
        <v>46139</v>
      </c>
      <c r="Q15" s="4">
        <v>46140</v>
      </c>
      <c r="R15" s="4">
        <v>46141</v>
      </c>
      <c r="S15" s="4">
        <v>46142</v>
      </c>
      <c r="T15" s="4">
        <v>46143</v>
      </c>
      <c r="U15" s="4">
        <v>46144</v>
      </c>
      <c r="V15" s="4">
        <v>46145</v>
      </c>
      <c r="W15" s="4">
        <v>46146</v>
      </c>
    </row>
    <row r="16" spans="1:23" ht="16.5" x14ac:dyDescent="0.25">
      <c r="A16" s="41" t="s">
        <v>3</v>
      </c>
      <c r="B16" s="36" t="s">
        <v>18</v>
      </c>
      <c r="C16" s="36"/>
      <c r="D16" s="36"/>
      <c r="E16" s="37" t="s">
        <v>19</v>
      </c>
      <c r="F16" s="37"/>
      <c r="G16" s="5">
        <f>H16-I16</f>
        <v>10</v>
      </c>
      <c r="H16" s="5">
        <v>10</v>
      </c>
      <c r="I16" s="6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</row>
    <row r="17" spans="1:23" ht="16.5" x14ac:dyDescent="0.25">
      <c r="A17" s="41"/>
      <c r="B17" s="36" t="s">
        <v>99</v>
      </c>
      <c r="C17" s="36"/>
      <c r="D17" s="36"/>
      <c r="E17" s="37" t="s">
        <v>96</v>
      </c>
      <c r="F17" s="37"/>
      <c r="G17" s="5">
        <v>4</v>
      </c>
      <c r="H17" s="5">
        <v>4</v>
      </c>
      <c r="I17" s="11">
        <v>4</v>
      </c>
      <c r="J17" s="6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</row>
    <row r="18" spans="1:23" ht="16.5" x14ac:dyDescent="0.25">
      <c r="A18" s="41"/>
      <c r="B18" s="36" t="s">
        <v>21</v>
      </c>
      <c r="C18" s="36"/>
      <c r="D18" s="36"/>
      <c r="E18" s="37" t="s">
        <v>97</v>
      </c>
      <c r="F18" s="37"/>
      <c r="G18" s="5">
        <f>H18-K18</f>
        <v>4</v>
      </c>
      <c r="H18" s="5">
        <v>4</v>
      </c>
      <c r="I18" s="11">
        <v>4</v>
      </c>
      <c r="J18" s="6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</row>
    <row r="19" spans="1:23" ht="16.5" customHeight="1" x14ac:dyDescent="0.25">
      <c r="A19" s="41"/>
      <c r="B19" s="38" t="s">
        <v>22</v>
      </c>
      <c r="C19" s="36" t="s">
        <v>102</v>
      </c>
      <c r="D19" s="36"/>
      <c r="E19" s="37" t="s">
        <v>42</v>
      </c>
      <c r="F19" s="37"/>
      <c r="G19" s="5">
        <v>2</v>
      </c>
      <c r="H19" s="5">
        <v>2</v>
      </c>
      <c r="I19" s="11">
        <v>2</v>
      </c>
      <c r="J19" s="5">
        <v>2</v>
      </c>
      <c r="K19" s="6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</row>
    <row r="20" spans="1:23" ht="16.5" x14ac:dyDescent="0.25">
      <c r="A20" s="41"/>
      <c r="B20" s="39"/>
      <c r="C20" s="36" t="s">
        <v>136</v>
      </c>
      <c r="D20" s="36"/>
      <c r="E20" s="37" t="s">
        <v>43</v>
      </c>
      <c r="F20" s="37"/>
      <c r="G20" s="5">
        <v>2</v>
      </c>
      <c r="H20" s="5">
        <v>2</v>
      </c>
      <c r="I20" s="11">
        <v>2</v>
      </c>
      <c r="J20" s="5">
        <v>2</v>
      </c>
      <c r="K20" s="6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</row>
    <row r="21" spans="1:23" ht="16.5" x14ac:dyDescent="0.25">
      <c r="A21" s="41"/>
      <c r="B21" s="39"/>
      <c r="C21" s="36" t="s">
        <v>103</v>
      </c>
      <c r="D21" s="36"/>
      <c r="E21" s="37" t="s">
        <v>44</v>
      </c>
      <c r="F21" s="37"/>
      <c r="G21" s="5">
        <v>2</v>
      </c>
      <c r="H21" s="5">
        <v>2</v>
      </c>
      <c r="I21" s="11">
        <v>2</v>
      </c>
      <c r="J21" s="5">
        <v>2</v>
      </c>
      <c r="K21" s="6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</row>
    <row r="22" spans="1:23" ht="16.5" x14ac:dyDescent="0.25">
      <c r="A22" s="41"/>
      <c r="B22" s="39"/>
      <c r="C22" s="42" t="s">
        <v>104</v>
      </c>
      <c r="D22" s="43"/>
      <c r="E22" s="32" t="s">
        <v>40</v>
      </c>
      <c r="F22" s="33"/>
      <c r="G22" s="5">
        <f>H22+K23</f>
        <v>3</v>
      </c>
      <c r="H22" s="5">
        <v>2</v>
      </c>
      <c r="I22" s="11">
        <v>2</v>
      </c>
      <c r="J22" s="5">
        <v>2</v>
      </c>
      <c r="K22" s="6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</row>
    <row r="23" spans="1:23" ht="16.5" x14ac:dyDescent="0.25">
      <c r="A23" s="41"/>
      <c r="B23" s="39"/>
      <c r="C23" s="32"/>
      <c r="D23" s="33"/>
      <c r="E23" s="32"/>
      <c r="F23" s="33"/>
      <c r="G23" s="5"/>
      <c r="H23" s="5"/>
      <c r="I23" s="11"/>
      <c r="J23" s="5"/>
      <c r="K23" s="12">
        <v>1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ht="16.5" x14ac:dyDescent="0.25">
      <c r="A24" s="41"/>
      <c r="B24" s="39"/>
      <c r="C24" s="36" t="s">
        <v>105</v>
      </c>
      <c r="D24" s="36"/>
      <c r="E24" s="37" t="s">
        <v>41</v>
      </c>
      <c r="F24" s="37"/>
      <c r="G24" s="5">
        <v>2</v>
      </c>
      <c r="H24" s="5">
        <v>2</v>
      </c>
      <c r="I24" s="11">
        <v>2</v>
      </c>
      <c r="J24" s="5">
        <v>2</v>
      </c>
      <c r="K24" s="6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</row>
    <row r="25" spans="1:23" ht="16.5" x14ac:dyDescent="0.25">
      <c r="A25" s="41"/>
      <c r="B25" s="39"/>
      <c r="C25" s="36" t="s">
        <v>106</v>
      </c>
      <c r="D25" s="36"/>
      <c r="E25" s="37" t="s">
        <v>42</v>
      </c>
      <c r="F25" s="37"/>
      <c r="G25" s="5">
        <v>2</v>
      </c>
      <c r="H25" s="5">
        <v>2</v>
      </c>
      <c r="I25" s="11">
        <v>2</v>
      </c>
      <c r="J25" s="5">
        <v>2</v>
      </c>
      <c r="K25" s="6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</row>
    <row r="26" spans="1:23" ht="16.5" x14ac:dyDescent="0.25">
      <c r="A26" s="41"/>
      <c r="B26" s="39"/>
      <c r="C26" s="36" t="s">
        <v>107</v>
      </c>
      <c r="D26" s="36"/>
      <c r="E26" s="37" t="s">
        <v>43</v>
      </c>
      <c r="F26" s="37"/>
      <c r="G26" s="5">
        <v>2</v>
      </c>
      <c r="H26" s="5">
        <v>2</v>
      </c>
      <c r="I26" s="11">
        <v>2</v>
      </c>
      <c r="J26" s="5">
        <v>2</v>
      </c>
      <c r="K26" s="6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</row>
    <row r="27" spans="1:23" ht="16.5" x14ac:dyDescent="0.25">
      <c r="A27" s="41"/>
      <c r="B27" s="39"/>
      <c r="C27" s="42" t="s">
        <v>108</v>
      </c>
      <c r="D27" s="43"/>
      <c r="E27" s="32" t="s">
        <v>42</v>
      </c>
      <c r="F27" s="33"/>
      <c r="G27" s="5">
        <v>2</v>
      </c>
      <c r="H27" s="5">
        <v>2</v>
      </c>
      <c r="I27" s="11">
        <v>2</v>
      </c>
      <c r="J27" s="5">
        <v>2</v>
      </c>
      <c r="K27" s="6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</row>
    <row r="28" spans="1:23" ht="16.5" x14ac:dyDescent="0.25">
      <c r="A28" s="41"/>
      <c r="B28" s="39"/>
      <c r="C28" s="42" t="s">
        <v>109</v>
      </c>
      <c r="D28" s="43"/>
      <c r="E28" s="32" t="s">
        <v>41</v>
      </c>
      <c r="F28" s="33"/>
      <c r="G28" s="5">
        <v>2</v>
      </c>
      <c r="H28" s="5">
        <v>2</v>
      </c>
      <c r="I28" s="11">
        <v>2</v>
      </c>
      <c r="J28" s="5">
        <v>2</v>
      </c>
      <c r="K28" s="6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</row>
    <row r="29" spans="1:23" ht="16.5" x14ac:dyDescent="0.25">
      <c r="A29" s="41"/>
      <c r="B29" s="39"/>
      <c r="C29" s="36" t="s">
        <v>110</v>
      </c>
      <c r="D29" s="36"/>
      <c r="E29" s="37" t="s">
        <v>19</v>
      </c>
      <c r="F29" s="37"/>
      <c r="G29" s="5">
        <f>H29+K30</f>
        <v>5</v>
      </c>
      <c r="H29" s="5">
        <v>10</v>
      </c>
      <c r="I29" s="11">
        <v>10</v>
      </c>
      <c r="J29" s="11">
        <v>10</v>
      </c>
      <c r="K29" s="6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</row>
    <row r="30" spans="1:23" ht="16.5" x14ac:dyDescent="0.25">
      <c r="A30" s="41"/>
      <c r="B30" s="40"/>
      <c r="C30" s="32"/>
      <c r="D30" s="33"/>
      <c r="E30" s="32"/>
      <c r="F30" s="33"/>
      <c r="G30" s="5"/>
      <c r="H30" s="5"/>
      <c r="I30" s="11"/>
      <c r="J30" s="11"/>
      <c r="K30" s="14">
        <v>-5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6.5" x14ac:dyDescent="0.25">
      <c r="A31" s="41"/>
      <c r="B31" s="41" t="s">
        <v>23</v>
      </c>
      <c r="C31" s="36" t="s">
        <v>102</v>
      </c>
      <c r="D31" s="36"/>
      <c r="E31" s="37" t="s">
        <v>42</v>
      </c>
      <c r="F31" s="37"/>
      <c r="G31" s="5">
        <f>H31+L32</f>
        <v>1</v>
      </c>
      <c r="H31" s="5">
        <v>2</v>
      </c>
      <c r="I31" s="11">
        <v>2</v>
      </c>
      <c r="J31" s="5">
        <v>2</v>
      </c>
      <c r="K31" s="11">
        <v>2</v>
      </c>
      <c r="L31" s="6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</row>
    <row r="32" spans="1:23" ht="16.5" x14ac:dyDescent="0.25">
      <c r="A32" s="41"/>
      <c r="B32" s="41"/>
      <c r="C32" s="32"/>
      <c r="D32" s="33"/>
      <c r="E32" s="32"/>
      <c r="F32" s="33"/>
      <c r="G32" s="5"/>
      <c r="H32" s="5"/>
      <c r="I32" s="11"/>
      <c r="J32" s="5"/>
      <c r="K32" s="11"/>
      <c r="L32" s="14">
        <v>-1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6.5" x14ac:dyDescent="0.25">
      <c r="A33" s="41"/>
      <c r="B33" s="41"/>
      <c r="C33" s="36" t="s">
        <v>136</v>
      </c>
      <c r="D33" s="36"/>
      <c r="E33" s="37" t="s">
        <v>43</v>
      </c>
      <c r="F33" s="37"/>
      <c r="G33" s="5">
        <v>2</v>
      </c>
      <c r="H33" s="5">
        <v>2</v>
      </c>
      <c r="I33" s="11">
        <v>2</v>
      </c>
      <c r="J33" s="5">
        <v>2</v>
      </c>
      <c r="K33" s="11">
        <v>2</v>
      </c>
      <c r="L33" s="6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</row>
    <row r="34" spans="1:23" ht="16.5" x14ac:dyDescent="0.25">
      <c r="A34" s="41"/>
      <c r="B34" s="41"/>
      <c r="C34" s="36" t="s">
        <v>103</v>
      </c>
      <c r="D34" s="36"/>
      <c r="E34" s="37" t="s">
        <v>44</v>
      </c>
      <c r="F34" s="37"/>
      <c r="G34" s="5">
        <v>2</v>
      </c>
      <c r="H34" s="5">
        <v>2</v>
      </c>
      <c r="I34" s="11">
        <v>2</v>
      </c>
      <c r="J34" s="5">
        <v>2</v>
      </c>
      <c r="K34" s="11">
        <v>2</v>
      </c>
      <c r="L34" s="6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</row>
    <row r="35" spans="1:23" ht="16.5" x14ac:dyDescent="0.25">
      <c r="A35" s="41"/>
      <c r="B35" s="41"/>
      <c r="C35" s="42" t="s">
        <v>104</v>
      </c>
      <c r="D35" s="43"/>
      <c r="E35" s="32" t="s">
        <v>40</v>
      </c>
      <c r="F35" s="33"/>
      <c r="G35" s="5">
        <v>2</v>
      </c>
      <c r="H35" s="5">
        <v>2</v>
      </c>
      <c r="I35" s="11">
        <v>2</v>
      </c>
      <c r="J35" s="5">
        <v>2</v>
      </c>
      <c r="K35" s="11">
        <v>2</v>
      </c>
      <c r="L35" s="6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</row>
    <row r="36" spans="1:23" ht="16.5" x14ac:dyDescent="0.25">
      <c r="A36" s="41"/>
      <c r="B36" s="41"/>
      <c r="C36" s="36" t="s">
        <v>105</v>
      </c>
      <c r="D36" s="36"/>
      <c r="E36" s="37" t="s">
        <v>41</v>
      </c>
      <c r="F36" s="37"/>
      <c r="G36" s="5">
        <v>2</v>
      </c>
      <c r="H36" s="5">
        <v>2</v>
      </c>
      <c r="I36" s="11">
        <v>2</v>
      </c>
      <c r="J36" s="5">
        <v>2</v>
      </c>
      <c r="K36" s="11">
        <v>2</v>
      </c>
      <c r="L36" s="6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</row>
    <row r="37" spans="1:23" ht="16.5" x14ac:dyDescent="0.25">
      <c r="A37" s="41"/>
      <c r="B37" s="41"/>
      <c r="C37" s="36" t="s">
        <v>106</v>
      </c>
      <c r="D37" s="36"/>
      <c r="E37" s="37" t="s">
        <v>42</v>
      </c>
      <c r="F37" s="37"/>
      <c r="G37" s="5">
        <v>2</v>
      </c>
      <c r="H37" s="5">
        <v>2</v>
      </c>
      <c r="I37" s="11">
        <v>2</v>
      </c>
      <c r="J37" s="5">
        <v>2</v>
      </c>
      <c r="K37" s="11">
        <v>2</v>
      </c>
      <c r="L37" s="6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</row>
    <row r="38" spans="1:23" ht="16.5" x14ac:dyDescent="0.25">
      <c r="A38" s="41"/>
      <c r="B38" s="41"/>
      <c r="C38" s="36" t="s">
        <v>107</v>
      </c>
      <c r="D38" s="36"/>
      <c r="E38" s="37" t="s">
        <v>43</v>
      </c>
      <c r="F38" s="37"/>
      <c r="G38" s="5">
        <v>2</v>
      </c>
      <c r="H38" s="5">
        <v>2</v>
      </c>
      <c r="I38" s="11">
        <v>2</v>
      </c>
      <c r="J38" s="5">
        <v>2</v>
      </c>
      <c r="K38" s="11">
        <v>2</v>
      </c>
      <c r="L38" s="6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</row>
    <row r="39" spans="1:23" ht="16.5" x14ac:dyDescent="0.25">
      <c r="A39" s="41"/>
      <c r="B39" s="41"/>
      <c r="C39" s="42" t="s">
        <v>108</v>
      </c>
      <c r="D39" s="43"/>
      <c r="E39" s="32" t="s">
        <v>44</v>
      </c>
      <c r="F39" s="33"/>
      <c r="G39" s="5">
        <v>2</v>
      </c>
      <c r="H39" s="5">
        <v>2</v>
      </c>
      <c r="I39" s="11">
        <v>2</v>
      </c>
      <c r="J39" s="5">
        <v>2</v>
      </c>
      <c r="K39" s="11">
        <v>2</v>
      </c>
      <c r="L39" s="6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</row>
    <row r="40" spans="1:23" ht="16.5" x14ac:dyDescent="0.25">
      <c r="A40" s="41"/>
      <c r="B40" s="41"/>
      <c r="C40" s="42" t="s">
        <v>109</v>
      </c>
      <c r="D40" s="43"/>
      <c r="E40" s="32" t="s">
        <v>41</v>
      </c>
      <c r="F40" s="33"/>
      <c r="G40" s="5">
        <v>2</v>
      </c>
      <c r="H40" s="5">
        <v>2</v>
      </c>
      <c r="I40" s="11">
        <v>2</v>
      </c>
      <c r="J40" s="5">
        <v>2</v>
      </c>
      <c r="K40" s="11">
        <v>2</v>
      </c>
      <c r="L40" s="6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</row>
    <row r="41" spans="1:23" ht="16.5" x14ac:dyDescent="0.25">
      <c r="A41" s="41"/>
      <c r="B41" s="41"/>
      <c r="C41" s="36" t="s">
        <v>111</v>
      </c>
      <c r="D41" s="36"/>
      <c r="E41" s="37" t="s">
        <v>19</v>
      </c>
      <c r="F41" s="37"/>
      <c r="G41" s="5">
        <f>H41+L42</f>
        <v>5</v>
      </c>
      <c r="H41" s="5">
        <v>10</v>
      </c>
      <c r="I41" s="11">
        <v>10</v>
      </c>
      <c r="J41" s="11">
        <v>10</v>
      </c>
      <c r="K41" s="11">
        <v>10</v>
      </c>
      <c r="L41" s="6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</row>
    <row r="42" spans="1:23" ht="16.5" x14ac:dyDescent="0.25">
      <c r="A42" s="41"/>
      <c r="B42" s="41"/>
      <c r="C42" s="36"/>
      <c r="D42" s="36"/>
      <c r="E42" s="37"/>
      <c r="F42" s="37"/>
      <c r="G42" s="5"/>
      <c r="H42" s="5"/>
      <c r="I42" s="11"/>
      <c r="J42" s="11"/>
      <c r="K42" s="11"/>
      <c r="L42" s="14">
        <v>-5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6.5" x14ac:dyDescent="0.25">
      <c r="A43" s="41"/>
      <c r="B43" s="41" t="s">
        <v>24</v>
      </c>
      <c r="C43" s="36" t="s">
        <v>112</v>
      </c>
      <c r="D43" s="36"/>
      <c r="E43" s="37" t="s">
        <v>40</v>
      </c>
      <c r="F43" s="37"/>
      <c r="G43" s="5">
        <v>4</v>
      </c>
      <c r="H43" s="5">
        <v>4</v>
      </c>
      <c r="I43" s="11">
        <v>4</v>
      </c>
      <c r="J43" s="5">
        <v>4</v>
      </c>
      <c r="K43" s="11">
        <v>4</v>
      </c>
      <c r="L43" s="5">
        <v>4</v>
      </c>
      <c r="M43" s="11">
        <v>4</v>
      </c>
      <c r="N43" s="6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</row>
    <row r="44" spans="1:23" ht="16.5" x14ac:dyDescent="0.25">
      <c r="A44" s="41"/>
      <c r="B44" s="41"/>
      <c r="C44" s="36" t="s">
        <v>137</v>
      </c>
      <c r="D44" s="36"/>
      <c r="E44" s="37" t="s">
        <v>43</v>
      </c>
      <c r="F44" s="37"/>
      <c r="G44" s="5">
        <f>H44+N45</f>
        <v>5</v>
      </c>
      <c r="H44" s="5">
        <v>4</v>
      </c>
      <c r="I44" s="11">
        <v>4</v>
      </c>
      <c r="J44" s="5">
        <v>4</v>
      </c>
      <c r="K44" s="11">
        <v>4</v>
      </c>
      <c r="L44" s="5">
        <v>4</v>
      </c>
      <c r="M44" s="11">
        <v>4</v>
      </c>
      <c r="N44" s="6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</row>
    <row r="45" spans="1:23" ht="16.5" x14ac:dyDescent="0.25">
      <c r="A45" s="41"/>
      <c r="B45" s="41"/>
      <c r="C45" s="32"/>
      <c r="D45" s="33"/>
      <c r="E45" s="32"/>
      <c r="F45" s="33"/>
      <c r="G45" s="5"/>
      <c r="H45" s="5"/>
      <c r="I45" s="11"/>
      <c r="J45" s="5"/>
      <c r="K45" s="11"/>
      <c r="L45" s="5"/>
      <c r="M45" s="11"/>
      <c r="N45" s="12">
        <v>1</v>
      </c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6.5" x14ac:dyDescent="0.25">
      <c r="A46" s="41"/>
      <c r="B46" s="41"/>
      <c r="C46" s="36" t="s">
        <v>113</v>
      </c>
      <c r="D46" s="36"/>
      <c r="E46" s="37" t="s">
        <v>44</v>
      </c>
      <c r="F46" s="37"/>
      <c r="G46" s="5">
        <v>4</v>
      </c>
      <c r="H46" s="5">
        <v>4</v>
      </c>
      <c r="I46" s="11">
        <v>4</v>
      </c>
      <c r="J46" s="5">
        <v>4</v>
      </c>
      <c r="K46" s="11">
        <v>4</v>
      </c>
      <c r="L46" s="5">
        <v>4</v>
      </c>
      <c r="M46" s="11">
        <v>4</v>
      </c>
      <c r="N46" s="6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</row>
    <row r="47" spans="1:23" ht="16.5" x14ac:dyDescent="0.25">
      <c r="A47" s="41"/>
      <c r="B47" s="41"/>
      <c r="C47" s="36" t="s">
        <v>114</v>
      </c>
      <c r="D47" s="36"/>
      <c r="E47" s="32" t="s">
        <v>40</v>
      </c>
      <c r="F47" s="33"/>
      <c r="G47" s="5">
        <f>H47+N48</f>
        <v>5</v>
      </c>
      <c r="H47" s="5">
        <v>4</v>
      </c>
      <c r="I47" s="11">
        <v>4</v>
      </c>
      <c r="J47" s="5">
        <v>4</v>
      </c>
      <c r="K47" s="11">
        <v>4</v>
      </c>
      <c r="L47" s="5">
        <v>4</v>
      </c>
      <c r="M47" s="11">
        <v>4</v>
      </c>
      <c r="N47" s="6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</row>
    <row r="48" spans="1:23" ht="16.5" x14ac:dyDescent="0.25">
      <c r="A48" s="41"/>
      <c r="B48" s="41"/>
      <c r="C48" s="32"/>
      <c r="D48" s="33"/>
      <c r="E48" s="32"/>
      <c r="F48" s="33"/>
      <c r="G48" s="5"/>
      <c r="H48" s="5"/>
      <c r="I48" s="11"/>
      <c r="J48" s="5"/>
      <c r="K48" s="11"/>
      <c r="L48" s="5"/>
      <c r="M48" s="11"/>
      <c r="N48" s="12">
        <v>1</v>
      </c>
      <c r="O48" s="11"/>
      <c r="P48" s="11"/>
      <c r="Q48" s="11"/>
      <c r="R48" s="11"/>
      <c r="S48" s="11"/>
      <c r="T48" s="11"/>
      <c r="U48" s="11"/>
      <c r="V48" s="11"/>
      <c r="W48" s="11"/>
    </row>
    <row r="49" spans="1:23" ht="16.5" x14ac:dyDescent="0.25">
      <c r="A49" s="41"/>
      <c r="B49" s="41"/>
      <c r="C49" s="36" t="s">
        <v>115</v>
      </c>
      <c r="D49" s="36"/>
      <c r="E49" s="37" t="s">
        <v>41</v>
      </c>
      <c r="F49" s="37"/>
      <c r="G49" s="5">
        <v>4</v>
      </c>
      <c r="H49" s="5">
        <v>4</v>
      </c>
      <c r="I49" s="11">
        <v>4</v>
      </c>
      <c r="J49" s="5">
        <v>4</v>
      </c>
      <c r="K49" s="11">
        <v>4</v>
      </c>
      <c r="L49" s="5">
        <v>4</v>
      </c>
      <c r="M49" s="11">
        <v>4</v>
      </c>
      <c r="N49" s="6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</row>
    <row r="50" spans="1:23" ht="16.5" x14ac:dyDescent="0.25">
      <c r="A50" s="41"/>
      <c r="B50" s="41"/>
      <c r="C50" s="36" t="s">
        <v>116</v>
      </c>
      <c r="D50" s="36"/>
      <c r="E50" s="37" t="s">
        <v>42</v>
      </c>
      <c r="F50" s="37"/>
      <c r="G50" s="5">
        <v>4</v>
      </c>
      <c r="H50" s="5">
        <v>4</v>
      </c>
      <c r="I50" s="11">
        <v>4</v>
      </c>
      <c r="J50" s="5">
        <v>4</v>
      </c>
      <c r="K50" s="11">
        <v>4</v>
      </c>
      <c r="L50" s="5">
        <v>4</v>
      </c>
      <c r="M50" s="11">
        <v>4</v>
      </c>
      <c r="N50" s="6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</row>
    <row r="51" spans="1:23" ht="16.5" x14ac:dyDescent="0.25">
      <c r="A51" s="41"/>
      <c r="B51" s="41"/>
      <c r="C51" s="36" t="s">
        <v>117</v>
      </c>
      <c r="D51" s="36"/>
      <c r="E51" s="37" t="s">
        <v>43</v>
      </c>
      <c r="F51" s="37"/>
      <c r="G51" s="5">
        <v>4</v>
      </c>
      <c r="H51" s="5">
        <v>4</v>
      </c>
      <c r="I51" s="11">
        <v>4</v>
      </c>
      <c r="J51" s="5">
        <v>4</v>
      </c>
      <c r="K51" s="11">
        <v>4</v>
      </c>
      <c r="L51" s="5">
        <v>4</v>
      </c>
      <c r="M51" s="11">
        <v>4</v>
      </c>
      <c r="N51" s="6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</row>
    <row r="52" spans="1:23" ht="16.5" x14ac:dyDescent="0.25">
      <c r="A52" s="41"/>
      <c r="B52" s="41"/>
      <c r="C52" s="36" t="s">
        <v>118</v>
      </c>
      <c r="D52" s="36"/>
      <c r="E52" s="37" t="s">
        <v>44</v>
      </c>
      <c r="F52" s="37"/>
      <c r="G52" s="5">
        <v>4</v>
      </c>
      <c r="H52" s="5">
        <v>4</v>
      </c>
      <c r="I52" s="11">
        <v>4</v>
      </c>
      <c r="J52" s="5">
        <v>4</v>
      </c>
      <c r="K52" s="11">
        <v>4</v>
      </c>
      <c r="L52" s="5">
        <v>4</v>
      </c>
      <c r="M52" s="11">
        <v>4</v>
      </c>
      <c r="N52" s="6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</row>
    <row r="53" spans="1:23" ht="16.5" x14ac:dyDescent="0.25">
      <c r="A53" s="41"/>
      <c r="B53" s="41"/>
      <c r="C53" s="36" t="s">
        <v>119</v>
      </c>
      <c r="D53" s="36"/>
      <c r="E53" s="32" t="s">
        <v>40</v>
      </c>
      <c r="F53" s="33"/>
      <c r="G53" s="5">
        <v>4</v>
      </c>
      <c r="H53" s="5">
        <v>4</v>
      </c>
      <c r="I53" s="11">
        <v>4</v>
      </c>
      <c r="J53" s="5">
        <v>4</v>
      </c>
      <c r="K53" s="11">
        <v>4</v>
      </c>
      <c r="L53" s="5">
        <v>4</v>
      </c>
      <c r="M53" s="11">
        <v>4</v>
      </c>
      <c r="N53" s="6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</row>
    <row r="54" spans="1:23" ht="16.5" x14ac:dyDescent="0.25">
      <c r="A54" s="41"/>
      <c r="B54" s="41"/>
      <c r="C54" s="36" t="s">
        <v>120</v>
      </c>
      <c r="D54" s="36"/>
      <c r="E54" s="37" t="s">
        <v>44</v>
      </c>
      <c r="F54" s="37"/>
      <c r="G54" s="5">
        <v>8</v>
      </c>
      <c r="H54" s="5">
        <v>8</v>
      </c>
      <c r="I54" s="11">
        <v>8</v>
      </c>
      <c r="J54" s="5">
        <v>8</v>
      </c>
      <c r="K54" s="11">
        <v>8</v>
      </c>
      <c r="L54" s="5">
        <v>8</v>
      </c>
      <c r="M54" s="11">
        <v>8</v>
      </c>
      <c r="N54" s="5">
        <v>8</v>
      </c>
      <c r="O54" s="11">
        <v>8</v>
      </c>
      <c r="P54" s="5">
        <v>8</v>
      </c>
      <c r="Q54" s="11">
        <v>8</v>
      </c>
      <c r="R54" s="6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</row>
    <row r="55" spans="1:23" ht="16.5" x14ac:dyDescent="0.25">
      <c r="A55" s="41"/>
      <c r="B55" s="41"/>
      <c r="C55" s="36" t="s">
        <v>138</v>
      </c>
      <c r="D55" s="36"/>
      <c r="E55" s="37" t="s">
        <v>40</v>
      </c>
      <c r="F55" s="37"/>
      <c r="G55" s="5">
        <f>H55+R56</f>
        <v>10</v>
      </c>
      <c r="H55" s="5">
        <v>8</v>
      </c>
      <c r="I55" s="11">
        <v>8</v>
      </c>
      <c r="J55" s="5">
        <v>8</v>
      </c>
      <c r="K55" s="11">
        <v>8</v>
      </c>
      <c r="L55" s="5">
        <v>8</v>
      </c>
      <c r="M55" s="11">
        <v>8</v>
      </c>
      <c r="N55" s="5">
        <v>8</v>
      </c>
      <c r="O55" s="11">
        <v>8</v>
      </c>
      <c r="P55" s="5">
        <v>8</v>
      </c>
      <c r="Q55" s="11">
        <v>8</v>
      </c>
      <c r="R55" s="6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</row>
    <row r="56" spans="1:23" ht="16.5" x14ac:dyDescent="0.25">
      <c r="A56" s="41"/>
      <c r="B56" s="41"/>
      <c r="C56" s="32"/>
      <c r="D56" s="33"/>
      <c r="E56" s="32"/>
      <c r="F56" s="33"/>
      <c r="G56" s="5"/>
      <c r="H56" s="5"/>
      <c r="I56" s="11"/>
      <c r="J56" s="5"/>
      <c r="K56" s="11"/>
      <c r="L56" s="5"/>
      <c r="M56" s="11"/>
      <c r="N56" s="5"/>
      <c r="O56" s="11"/>
      <c r="P56" s="5"/>
      <c r="Q56" s="11"/>
      <c r="R56" s="12">
        <v>2</v>
      </c>
      <c r="S56" s="11"/>
      <c r="T56" s="11"/>
      <c r="U56" s="11"/>
      <c r="V56" s="11"/>
      <c r="W56" s="11"/>
    </row>
    <row r="57" spans="1:23" ht="16.5" x14ac:dyDescent="0.25">
      <c r="A57" s="41"/>
      <c r="B57" s="41"/>
      <c r="C57" s="36" t="s">
        <v>121</v>
      </c>
      <c r="D57" s="36"/>
      <c r="E57" s="37" t="s">
        <v>44</v>
      </c>
      <c r="F57" s="37"/>
      <c r="G57" s="5">
        <v>8</v>
      </c>
      <c r="H57" s="5">
        <v>8</v>
      </c>
      <c r="I57" s="11">
        <v>8</v>
      </c>
      <c r="J57" s="5">
        <v>8</v>
      </c>
      <c r="K57" s="11">
        <v>8</v>
      </c>
      <c r="L57" s="5">
        <v>8</v>
      </c>
      <c r="M57" s="11">
        <v>8</v>
      </c>
      <c r="N57" s="5">
        <v>8</v>
      </c>
      <c r="O57" s="11">
        <v>8</v>
      </c>
      <c r="P57" s="5">
        <v>8</v>
      </c>
      <c r="Q57" s="11">
        <v>8</v>
      </c>
      <c r="R57" s="6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</row>
    <row r="58" spans="1:23" ht="16.5" x14ac:dyDescent="0.25">
      <c r="A58" s="41"/>
      <c r="B58" s="41"/>
      <c r="C58" s="36" t="s">
        <v>122</v>
      </c>
      <c r="D58" s="36"/>
      <c r="E58" s="32" t="s">
        <v>40</v>
      </c>
      <c r="F58" s="33"/>
      <c r="G58" s="5">
        <f>H58+R59</f>
        <v>6</v>
      </c>
      <c r="H58" s="5">
        <v>4</v>
      </c>
      <c r="I58" s="11">
        <v>4</v>
      </c>
      <c r="J58" s="5">
        <v>4</v>
      </c>
      <c r="K58" s="11">
        <v>4</v>
      </c>
      <c r="L58" s="5">
        <v>4</v>
      </c>
      <c r="M58" s="11">
        <v>4</v>
      </c>
      <c r="N58" s="5">
        <v>4</v>
      </c>
      <c r="O58" s="11">
        <v>4</v>
      </c>
      <c r="P58" s="5">
        <v>4</v>
      </c>
      <c r="Q58" s="11">
        <v>4</v>
      </c>
      <c r="R58" s="6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</row>
    <row r="59" spans="1:23" ht="16.5" x14ac:dyDescent="0.25">
      <c r="A59" s="41"/>
      <c r="B59" s="41"/>
      <c r="C59" s="32"/>
      <c r="D59" s="33"/>
      <c r="E59" s="32"/>
      <c r="F59" s="33"/>
      <c r="G59" s="5"/>
      <c r="H59" s="5"/>
      <c r="I59" s="11"/>
      <c r="J59" s="5"/>
      <c r="K59" s="11"/>
      <c r="L59" s="5"/>
      <c r="M59" s="11"/>
      <c r="N59" s="5"/>
      <c r="O59" s="11"/>
      <c r="P59" s="5"/>
      <c r="Q59" s="11"/>
      <c r="R59" s="12">
        <v>2</v>
      </c>
      <c r="S59" s="11"/>
      <c r="T59" s="11"/>
      <c r="U59" s="11"/>
      <c r="V59" s="11"/>
      <c r="W59" s="11"/>
    </row>
    <row r="60" spans="1:23" ht="16.5" x14ac:dyDescent="0.25">
      <c r="A60" s="41"/>
      <c r="B60" s="41"/>
      <c r="C60" s="36" t="s">
        <v>123</v>
      </c>
      <c r="D60" s="36"/>
      <c r="E60" s="37" t="s">
        <v>41</v>
      </c>
      <c r="F60" s="37"/>
      <c r="G60" s="5">
        <f>H60+R61</f>
        <v>6</v>
      </c>
      <c r="H60" s="5">
        <v>4</v>
      </c>
      <c r="I60" s="11">
        <v>4</v>
      </c>
      <c r="J60" s="5">
        <v>4</v>
      </c>
      <c r="K60" s="11">
        <v>4</v>
      </c>
      <c r="L60" s="5">
        <v>4</v>
      </c>
      <c r="M60" s="11">
        <v>4</v>
      </c>
      <c r="N60" s="5">
        <v>4</v>
      </c>
      <c r="O60" s="11">
        <v>4</v>
      </c>
      <c r="P60" s="5">
        <v>4</v>
      </c>
      <c r="Q60" s="11">
        <v>4</v>
      </c>
      <c r="R60" s="6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</row>
    <row r="61" spans="1:23" ht="16.5" x14ac:dyDescent="0.25">
      <c r="A61" s="41"/>
      <c r="B61" s="41"/>
      <c r="C61" s="32"/>
      <c r="D61" s="33"/>
      <c r="E61" s="32"/>
      <c r="F61" s="33"/>
      <c r="G61" s="5"/>
      <c r="H61" s="5"/>
      <c r="I61" s="11"/>
      <c r="J61" s="5"/>
      <c r="K61" s="11"/>
      <c r="L61" s="5"/>
      <c r="M61" s="11"/>
      <c r="N61" s="5"/>
      <c r="O61" s="11"/>
      <c r="P61" s="5"/>
      <c r="Q61" s="11"/>
      <c r="R61" s="12">
        <v>2</v>
      </c>
      <c r="S61" s="11"/>
      <c r="T61" s="11"/>
      <c r="U61" s="11"/>
      <c r="V61" s="11"/>
      <c r="W61" s="11"/>
    </row>
    <row r="62" spans="1:23" ht="16.5" x14ac:dyDescent="0.25">
      <c r="A62" s="41"/>
      <c r="B62" s="41"/>
      <c r="C62" s="36" t="s">
        <v>124</v>
      </c>
      <c r="D62" s="36"/>
      <c r="E62" s="37" t="s">
        <v>44</v>
      </c>
      <c r="F62" s="37"/>
      <c r="G62" s="5">
        <v>4</v>
      </c>
      <c r="H62" s="5">
        <v>4</v>
      </c>
      <c r="I62" s="11">
        <v>4</v>
      </c>
      <c r="J62" s="5">
        <v>4</v>
      </c>
      <c r="K62" s="11">
        <v>4</v>
      </c>
      <c r="L62" s="5">
        <v>4</v>
      </c>
      <c r="M62" s="11">
        <v>4</v>
      </c>
      <c r="N62" s="5">
        <v>4</v>
      </c>
      <c r="O62" s="11">
        <v>4</v>
      </c>
      <c r="P62" s="5">
        <v>4</v>
      </c>
      <c r="Q62" s="11">
        <v>4</v>
      </c>
      <c r="R62" s="6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</row>
    <row r="63" spans="1:23" ht="16.5" x14ac:dyDescent="0.25">
      <c r="A63" s="41"/>
      <c r="B63" s="41"/>
      <c r="C63" s="36" t="s">
        <v>125</v>
      </c>
      <c r="D63" s="36"/>
      <c r="E63" s="37" t="s">
        <v>40</v>
      </c>
      <c r="F63" s="37"/>
      <c r="G63" s="5">
        <v>4</v>
      </c>
      <c r="H63" s="5">
        <v>4</v>
      </c>
      <c r="I63" s="11">
        <v>4</v>
      </c>
      <c r="J63" s="5">
        <v>4</v>
      </c>
      <c r="K63" s="11">
        <v>4</v>
      </c>
      <c r="L63" s="5">
        <v>4</v>
      </c>
      <c r="M63" s="11">
        <v>4</v>
      </c>
      <c r="N63" s="5">
        <v>4</v>
      </c>
      <c r="O63" s="11">
        <v>4</v>
      </c>
      <c r="P63" s="5">
        <v>4</v>
      </c>
      <c r="Q63" s="11">
        <v>4</v>
      </c>
      <c r="R63" s="6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</row>
    <row r="64" spans="1:23" ht="16.5" x14ac:dyDescent="0.25">
      <c r="A64" s="41"/>
      <c r="B64" s="41"/>
      <c r="C64" s="36" t="s">
        <v>126</v>
      </c>
      <c r="D64" s="36"/>
      <c r="E64" s="37" t="s">
        <v>44</v>
      </c>
      <c r="F64" s="37"/>
      <c r="G64" s="5">
        <v>2</v>
      </c>
      <c r="H64" s="5">
        <v>2</v>
      </c>
      <c r="I64" s="11">
        <v>2</v>
      </c>
      <c r="J64" s="5">
        <v>2</v>
      </c>
      <c r="K64" s="11">
        <v>2</v>
      </c>
      <c r="L64" s="5">
        <v>2</v>
      </c>
      <c r="M64" s="11">
        <v>2</v>
      </c>
      <c r="N64" s="5">
        <v>2</v>
      </c>
      <c r="O64" s="11">
        <v>2</v>
      </c>
      <c r="P64" s="5">
        <v>2</v>
      </c>
      <c r="Q64" s="11">
        <v>2</v>
      </c>
      <c r="R64" s="6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</row>
    <row r="65" spans="1:23" ht="16.5" x14ac:dyDescent="0.25">
      <c r="A65" s="41"/>
      <c r="B65" s="41"/>
      <c r="C65" s="36" t="s">
        <v>127</v>
      </c>
      <c r="D65" s="36"/>
      <c r="E65" s="32" t="s">
        <v>40</v>
      </c>
      <c r="F65" s="33"/>
      <c r="G65" s="5">
        <v>2</v>
      </c>
      <c r="H65" s="5">
        <v>2</v>
      </c>
      <c r="I65" s="11">
        <v>2</v>
      </c>
      <c r="J65" s="5">
        <v>2</v>
      </c>
      <c r="K65" s="11">
        <v>2</v>
      </c>
      <c r="L65" s="5">
        <v>2</v>
      </c>
      <c r="M65" s="11">
        <v>2</v>
      </c>
      <c r="N65" s="5">
        <v>2</v>
      </c>
      <c r="O65" s="11">
        <v>2</v>
      </c>
      <c r="P65" s="5">
        <v>2</v>
      </c>
      <c r="Q65" s="11">
        <v>2</v>
      </c>
      <c r="R65" s="6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</row>
    <row r="66" spans="1:23" ht="16.5" x14ac:dyDescent="0.25">
      <c r="A66" s="41"/>
      <c r="B66" s="41"/>
      <c r="C66" s="36" t="s">
        <v>93</v>
      </c>
      <c r="D66" s="36"/>
      <c r="E66" s="44" t="s">
        <v>19</v>
      </c>
      <c r="F66" s="44"/>
      <c r="G66" s="5">
        <v>10</v>
      </c>
      <c r="H66" s="5">
        <v>10</v>
      </c>
      <c r="I66" s="11">
        <v>10</v>
      </c>
      <c r="J66" s="5">
        <v>10</v>
      </c>
      <c r="K66" s="11">
        <v>10</v>
      </c>
      <c r="L66" s="5">
        <v>10</v>
      </c>
      <c r="M66" s="11">
        <v>10</v>
      </c>
      <c r="N66" s="5">
        <v>10</v>
      </c>
      <c r="O66" s="11">
        <v>10</v>
      </c>
      <c r="P66" s="5">
        <v>10</v>
      </c>
      <c r="Q66" s="11">
        <v>10</v>
      </c>
      <c r="R66" s="6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</row>
    <row r="67" spans="1:23" ht="16.5" x14ac:dyDescent="0.25">
      <c r="A67" s="41"/>
      <c r="B67" s="41" t="s">
        <v>25</v>
      </c>
      <c r="C67" s="36" t="s">
        <v>102</v>
      </c>
      <c r="D67" s="36"/>
      <c r="E67" s="37" t="s">
        <v>42</v>
      </c>
      <c r="F67" s="37"/>
      <c r="G67" s="5">
        <f>H67+S68</f>
        <v>1</v>
      </c>
      <c r="H67" s="5">
        <v>2</v>
      </c>
      <c r="I67" s="11">
        <v>2</v>
      </c>
      <c r="J67" s="5">
        <v>2</v>
      </c>
      <c r="K67" s="11">
        <v>2</v>
      </c>
      <c r="L67" s="5">
        <v>2</v>
      </c>
      <c r="M67" s="11">
        <v>2</v>
      </c>
      <c r="N67" s="5">
        <v>2</v>
      </c>
      <c r="O67" s="11">
        <v>2</v>
      </c>
      <c r="P67" s="5">
        <v>2</v>
      </c>
      <c r="Q67" s="11">
        <v>2</v>
      </c>
      <c r="R67" s="5">
        <v>2</v>
      </c>
      <c r="S67" s="6">
        <v>0</v>
      </c>
      <c r="T67" s="11">
        <v>0</v>
      </c>
      <c r="U67" s="11">
        <v>0</v>
      </c>
      <c r="V67" s="11">
        <v>0</v>
      </c>
      <c r="W67" s="11">
        <v>0</v>
      </c>
    </row>
    <row r="68" spans="1:23" ht="16.5" x14ac:dyDescent="0.25">
      <c r="A68" s="41"/>
      <c r="B68" s="41"/>
      <c r="C68" s="32"/>
      <c r="D68" s="33"/>
      <c r="E68" s="57"/>
      <c r="F68" s="58"/>
      <c r="G68" s="5"/>
      <c r="H68" s="5"/>
      <c r="I68" s="11"/>
      <c r="J68" s="5"/>
      <c r="K68" s="11"/>
      <c r="L68" s="5"/>
      <c r="M68" s="11"/>
      <c r="N68" s="5"/>
      <c r="O68" s="11"/>
      <c r="P68" s="5"/>
      <c r="Q68" s="11"/>
      <c r="R68" s="5"/>
      <c r="S68" s="14">
        <v>-1</v>
      </c>
      <c r="T68" s="11"/>
      <c r="U68" s="11"/>
      <c r="V68" s="11"/>
      <c r="W68" s="11"/>
    </row>
    <row r="69" spans="1:23" ht="16.5" x14ac:dyDescent="0.25">
      <c r="A69" s="41"/>
      <c r="B69" s="41"/>
      <c r="C69" s="36" t="s">
        <v>136</v>
      </c>
      <c r="D69" s="36"/>
      <c r="E69" s="37" t="s">
        <v>43</v>
      </c>
      <c r="F69" s="37"/>
      <c r="G69" s="5">
        <v>2</v>
      </c>
      <c r="H69" s="5">
        <v>2</v>
      </c>
      <c r="I69" s="11">
        <v>2</v>
      </c>
      <c r="J69" s="5">
        <v>2</v>
      </c>
      <c r="K69" s="11">
        <v>2</v>
      </c>
      <c r="L69" s="5">
        <v>2</v>
      </c>
      <c r="M69" s="11">
        <v>2</v>
      </c>
      <c r="N69" s="5">
        <v>2</v>
      </c>
      <c r="O69" s="11">
        <v>2</v>
      </c>
      <c r="P69" s="5">
        <v>2</v>
      </c>
      <c r="Q69" s="11">
        <v>2</v>
      </c>
      <c r="R69" s="5">
        <v>2</v>
      </c>
      <c r="S69" s="6">
        <v>0</v>
      </c>
      <c r="T69" s="11">
        <v>0</v>
      </c>
      <c r="U69" s="11">
        <v>0</v>
      </c>
      <c r="V69" s="11">
        <v>0</v>
      </c>
      <c r="W69" s="11">
        <v>0</v>
      </c>
    </row>
    <row r="70" spans="1:23" ht="16.5" x14ac:dyDescent="0.25">
      <c r="A70" s="41"/>
      <c r="B70" s="41"/>
      <c r="C70" s="36" t="s">
        <v>103</v>
      </c>
      <c r="D70" s="36"/>
      <c r="E70" s="37" t="s">
        <v>44</v>
      </c>
      <c r="F70" s="37"/>
      <c r="G70" s="5">
        <v>2</v>
      </c>
      <c r="H70" s="5">
        <v>2</v>
      </c>
      <c r="I70" s="11">
        <v>2</v>
      </c>
      <c r="J70" s="5">
        <v>2</v>
      </c>
      <c r="K70" s="11">
        <v>2</v>
      </c>
      <c r="L70" s="5">
        <v>2</v>
      </c>
      <c r="M70" s="11">
        <v>2</v>
      </c>
      <c r="N70" s="5">
        <v>2</v>
      </c>
      <c r="O70" s="11">
        <v>2</v>
      </c>
      <c r="P70" s="5">
        <v>2</v>
      </c>
      <c r="Q70" s="11">
        <v>2</v>
      </c>
      <c r="R70" s="5">
        <v>2</v>
      </c>
      <c r="S70" s="6">
        <v>0</v>
      </c>
      <c r="T70" s="11">
        <v>0</v>
      </c>
      <c r="U70" s="11">
        <v>0</v>
      </c>
      <c r="V70" s="11">
        <v>0</v>
      </c>
      <c r="W70" s="11">
        <v>0</v>
      </c>
    </row>
    <row r="71" spans="1:23" ht="16.5" x14ac:dyDescent="0.25">
      <c r="A71" s="41"/>
      <c r="B71" s="41"/>
      <c r="C71" s="42" t="s">
        <v>104</v>
      </c>
      <c r="D71" s="43"/>
      <c r="E71" s="32" t="s">
        <v>40</v>
      </c>
      <c r="F71" s="33"/>
      <c r="G71" s="5">
        <v>2</v>
      </c>
      <c r="H71" s="5">
        <v>2</v>
      </c>
      <c r="I71" s="11">
        <v>2</v>
      </c>
      <c r="J71" s="5">
        <v>2</v>
      </c>
      <c r="K71" s="11">
        <v>2</v>
      </c>
      <c r="L71" s="5">
        <v>2</v>
      </c>
      <c r="M71" s="11">
        <v>2</v>
      </c>
      <c r="N71" s="5">
        <v>2</v>
      </c>
      <c r="O71" s="11">
        <v>2</v>
      </c>
      <c r="P71" s="5">
        <v>2</v>
      </c>
      <c r="Q71" s="11">
        <v>2</v>
      </c>
      <c r="R71" s="5">
        <v>2</v>
      </c>
      <c r="S71" s="6">
        <v>0</v>
      </c>
      <c r="T71" s="11">
        <v>0</v>
      </c>
      <c r="U71" s="11">
        <v>0</v>
      </c>
      <c r="V71" s="11">
        <v>0</v>
      </c>
      <c r="W71" s="11">
        <v>0</v>
      </c>
    </row>
    <row r="72" spans="1:23" ht="16.5" x14ac:dyDescent="0.25">
      <c r="A72" s="41"/>
      <c r="B72" s="41"/>
      <c r="C72" s="36" t="s">
        <v>105</v>
      </c>
      <c r="D72" s="36"/>
      <c r="E72" s="37" t="s">
        <v>41</v>
      </c>
      <c r="F72" s="37"/>
      <c r="G72" s="5">
        <v>2</v>
      </c>
      <c r="H72" s="5">
        <v>2</v>
      </c>
      <c r="I72" s="11">
        <v>2</v>
      </c>
      <c r="J72" s="5">
        <v>2</v>
      </c>
      <c r="K72" s="11">
        <v>2</v>
      </c>
      <c r="L72" s="5">
        <v>2</v>
      </c>
      <c r="M72" s="11">
        <v>2</v>
      </c>
      <c r="N72" s="5">
        <v>2</v>
      </c>
      <c r="O72" s="11">
        <v>2</v>
      </c>
      <c r="P72" s="5">
        <v>2</v>
      </c>
      <c r="Q72" s="11">
        <v>2</v>
      </c>
      <c r="R72" s="5">
        <v>2</v>
      </c>
      <c r="S72" s="6">
        <v>0</v>
      </c>
      <c r="T72" s="11">
        <v>0</v>
      </c>
      <c r="U72" s="11">
        <v>0</v>
      </c>
      <c r="V72" s="11">
        <v>0</v>
      </c>
      <c r="W72" s="11">
        <v>0</v>
      </c>
    </row>
    <row r="73" spans="1:23" ht="16.5" x14ac:dyDescent="0.25">
      <c r="A73" s="41"/>
      <c r="B73" s="41"/>
      <c r="C73" s="36" t="s">
        <v>106</v>
      </c>
      <c r="D73" s="36"/>
      <c r="E73" s="37" t="s">
        <v>42</v>
      </c>
      <c r="F73" s="37"/>
      <c r="G73" s="5">
        <v>2</v>
      </c>
      <c r="H73" s="5">
        <v>2</v>
      </c>
      <c r="I73" s="11">
        <v>2</v>
      </c>
      <c r="J73" s="5">
        <v>2</v>
      </c>
      <c r="K73" s="11">
        <v>2</v>
      </c>
      <c r="L73" s="5">
        <v>2</v>
      </c>
      <c r="M73" s="11">
        <v>2</v>
      </c>
      <c r="N73" s="5">
        <v>2</v>
      </c>
      <c r="O73" s="11">
        <v>2</v>
      </c>
      <c r="P73" s="5">
        <v>2</v>
      </c>
      <c r="Q73" s="11">
        <v>2</v>
      </c>
      <c r="R73" s="5">
        <v>2</v>
      </c>
      <c r="S73" s="6">
        <v>0</v>
      </c>
      <c r="T73" s="11">
        <v>0</v>
      </c>
      <c r="U73" s="11">
        <v>0</v>
      </c>
      <c r="V73" s="11">
        <v>0</v>
      </c>
      <c r="W73" s="11">
        <v>0</v>
      </c>
    </row>
    <row r="74" spans="1:23" ht="16.5" x14ac:dyDescent="0.25">
      <c r="A74" s="41"/>
      <c r="B74" s="41"/>
      <c r="C74" s="36" t="s">
        <v>107</v>
      </c>
      <c r="D74" s="36"/>
      <c r="E74" s="37" t="s">
        <v>43</v>
      </c>
      <c r="F74" s="37"/>
      <c r="G74" s="5">
        <v>2</v>
      </c>
      <c r="H74" s="5">
        <v>2</v>
      </c>
      <c r="I74" s="11">
        <v>2</v>
      </c>
      <c r="J74" s="5">
        <v>2</v>
      </c>
      <c r="K74" s="11">
        <v>2</v>
      </c>
      <c r="L74" s="5">
        <v>2</v>
      </c>
      <c r="M74" s="11">
        <v>2</v>
      </c>
      <c r="N74" s="5">
        <v>2</v>
      </c>
      <c r="O74" s="11">
        <v>2</v>
      </c>
      <c r="P74" s="5">
        <v>2</v>
      </c>
      <c r="Q74" s="11">
        <v>2</v>
      </c>
      <c r="R74" s="5">
        <v>2</v>
      </c>
      <c r="S74" s="6">
        <v>0</v>
      </c>
      <c r="T74" s="11">
        <v>0</v>
      </c>
      <c r="U74" s="11">
        <v>0</v>
      </c>
      <c r="V74" s="11">
        <v>0</v>
      </c>
      <c r="W74" s="11">
        <v>0</v>
      </c>
    </row>
    <row r="75" spans="1:23" ht="16.5" x14ac:dyDescent="0.25">
      <c r="A75" s="41"/>
      <c r="B75" s="41"/>
      <c r="C75" s="42" t="s">
        <v>108</v>
      </c>
      <c r="D75" s="43"/>
      <c r="E75" s="32" t="s">
        <v>44</v>
      </c>
      <c r="F75" s="33"/>
      <c r="G75" s="5">
        <v>2</v>
      </c>
      <c r="H75" s="5">
        <v>2</v>
      </c>
      <c r="I75" s="11">
        <v>2</v>
      </c>
      <c r="J75" s="5">
        <v>2</v>
      </c>
      <c r="K75" s="11">
        <v>2</v>
      </c>
      <c r="L75" s="5">
        <v>2</v>
      </c>
      <c r="M75" s="11">
        <v>2</v>
      </c>
      <c r="N75" s="5">
        <v>2</v>
      </c>
      <c r="O75" s="11">
        <v>2</v>
      </c>
      <c r="P75" s="5">
        <v>2</v>
      </c>
      <c r="Q75" s="11">
        <v>2</v>
      </c>
      <c r="R75" s="5">
        <v>2</v>
      </c>
      <c r="S75" s="6">
        <v>0</v>
      </c>
      <c r="T75" s="11">
        <v>0</v>
      </c>
      <c r="U75" s="11">
        <v>0</v>
      </c>
      <c r="V75" s="11">
        <v>0</v>
      </c>
      <c r="W75" s="11">
        <v>0</v>
      </c>
    </row>
    <row r="76" spans="1:23" ht="16.5" x14ac:dyDescent="0.25">
      <c r="A76" s="41"/>
      <c r="B76" s="41"/>
      <c r="C76" s="42" t="s">
        <v>109</v>
      </c>
      <c r="D76" s="43"/>
      <c r="E76" s="32" t="s">
        <v>40</v>
      </c>
      <c r="F76" s="33"/>
      <c r="G76" s="5">
        <v>2</v>
      </c>
      <c r="H76" s="5">
        <v>2</v>
      </c>
      <c r="I76" s="11">
        <v>2</v>
      </c>
      <c r="J76" s="5">
        <v>2</v>
      </c>
      <c r="K76" s="11">
        <v>2</v>
      </c>
      <c r="L76" s="5">
        <v>2</v>
      </c>
      <c r="M76" s="11">
        <v>2</v>
      </c>
      <c r="N76" s="5">
        <v>2</v>
      </c>
      <c r="O76" s="11">
        <v>2</v>
      </c>
      <c r="P76" s="5">
        <v>2</v>
      </c>
      <c r="Q76" s="11">
        <v>2</v>
      </c>
      <c r="R76" s="5">
        <v>2</v>
      </c>
      <c r="S76" s="6">
        <v>0</v>
      </c>
      <c r="T76" s="11">
        <v>0</v>
      </c>
      <c r="U76" s="11">
        <v>0</v>
      </c>
      <c r="V76" s="11">
        <v>0</v>
      </c>
      <c r="W76" s="11">
        <v>0</v>
      </c>
    </row>
    <row r="77" spans="1:23" ht="16.5" x14ac:dyDescent="0.25">
      <c r="A77" s="41"/>
      <c r="B77" s="41" t="s">
        <v>26</v>
      </c>
      <c r="C77" s="36" t="s">
        <v>102</v>
      </c>
      <c r="D77" s="36"/>
      <c r="E77" s="37" t="s">
        <v>42</v>
      </c>
      <c r="F77" s="37"/>
      <c r="G77" s="5">
        <v>2</v>
      </c>
      <c r="H77" s="5">
        <v>2</v>
      </c>
      <c r="I77" s="11">
        <v>2</v>
      </c>
      <c r="J77" s="5">
        <v>2</v>
      </c>
      <c r="K77" s="11">
        <v>2</v>
      </c>
      <c r="L77" s="5">
        <v>2</v>
      </c>
      <c r="M77" s="11">
        <v>2</v>
      </c>
      <c r="N77" s="5">
        <v>2</v>
      </c>
      <c r="O77" s="11">
        <v>2</v>
      </c>
      <c r="P77" s="5">
        <v>2</v>
      </c>
      <c r="Q77" s="11">
        <v>2</v>
      </c>
      <c r="R77" s="5">
        <v>2</v>
      </c>
      <c r="S77" s="11">
        <v>2</v>
      </c>
      <c r="T77" s="6">
        <v>0</v>
      </c>
      <c r="U77" s="11">
        <v>0</v>
      </c>
      <c r="V77" s="11">
        <v>0</v>
      </c>
      <c r="W77" s="11">
        <v>0</v>
      </c>
    </row>
    <row r="78" spans="1:23" ht="16.5" x14ac:dyDescent="0.25">
      <c r="A78" s="41"/>
      <c r="B78" s="41"/>
      <c r="C78" s="36" t="s">
        <v>136</v>
      </c>
      <c r="D78" s="36"/>
      <c r="E78" s="37" t="s">
        <v>43</v>
      </c>
      <c r="F78" s="37"/>
      <c r="G78" s="5">
        <v>2</v>
      </c>
      <c r="H78" s="5">
        <v>2</v>
      </c>
      <c r="I78" s="11">
        <v>2</v>
      </c>
      <c r="J78" s="5">
        <v>2</v>
      </c>
      <c r="K78" s="11">
        <v>2</v>
      </c>
      <c r="L78" s="5">
        <v>2</v>
      </c>
      <c r="M78" s="11">
        <v>2</v>
      </c>
      <c r="N78" s="5">
        <v>2</v>
      </c>
      <c r="O78" s="11">
        <v>2</v>
      </c>
      <c r="P78" s="5">
        <v>2</v>
      </c>
      <c r="Q78" s="11">
        <v>2</v>
      </c>
      <c r="R78" s="5">
        <v>2</v>
      </c>
      <c r="S78" s="11">
        <v>2</v>
      </c>
      <c r="T78" s="6">
        <v>0</v>
      </c>
      <c r="U78" s="11">
        <v>0</v>
      </c>
      <c r="V78" s="11">
        <v>0</v>
      </c>
      <c r="W78" s="11">
        <v>0</v>
      </c>
    </row>
    <row r="79" spans="1:23" ht="16.5" x14ac:dyDescent="0.25">
      <c r="A79" s="41"/>
      <c r="B79" s="41"/>
      <c r="C79" s="36" t="s">
        <v>103</v>
      </c>
      <c r="D79" s="36"/>
      <c r="E79" s="37" t="s">
        <v>44</v>
      </c>
      <c r="F79" s="37"/>
      <c r="G79" s="5">
        <v>2</v>
      </c>
      <c r="H79" s="5">
        <v>2</v>
      </c>
      <c r="I79" s="11">
        <v>2</v>
      </c>
      <c r="J79" s="5">
        <v>2</v>
      </c>
      <c r="K79" s="11">
        <v>2</v>
      </c>
      <c r="L79" s="5">
        <v>2</v>
      </c>
      <c r="M79" s="11">
        <v>2</v>
      </c>
      <c r="N79" s="5">
        <v>2</v>
      </c>
      <c r="O79" s="11">
        <v>2</v>
      </c>
      <c r="P79" s="5">
        <v>2</v>
      </c>
      <c r="Q79" s="11">
        <v>2</v>
      </c>
      <c r="R79" s="5">
        <v>2</v>
      </c>
      <c r="S79" s="11">
        <v>2</v>
      </c>
      <c r="T79" s="6">
        <v>0</v>
      </c>
      <c r="U79" s="11">
        <v>0</v>
      </c>
      <c r="V79" s="11">
        <v>0</v>
      </c>
      <c r="W79" s="11">
        <v>0</v>
      </c>
    </row>
    <row r="80" spans="1:23" ht="16.5" x14ac:dyDescent="0.25">
      <c r="A80" s="41"/>
      <c r="B80" s="41"/>
      <c r="C80" s="42" t="s">
        <v>104</v>
      </c>
      <c r="D80" s="43"/>
      <c r="E80" s="32" t="s">
        <v>40</v>
      </c>
      <c r="F80" s="33"/>
      <c r="G80" s="5">
        <v>2</v>
      </c>
      <c r="H80" s="5">
        <v>2</v>
      </c>
      <c r="I80" s="11">
        <v>2</v>
      </c>
      <c r="J80" s="5">
        <v>2</v>
      </c>
      <c r="K80" s="11">
        <v>2</v>
      </c>
      <c r="L80" s="5">
        <v>2</v>
      </c>
      <c r="M80" s="11">
        <v>2</v>
      </c>
      <c r="N80" s="5">
        <v>2</v>
      </c>
      <c r="O80" s="11">
        <v>2</v>
      </c>
      <c r="P80" s="5">
        <v>2</v>
      </c>
      <c r="Q80" s="11">
        <v>2</v>
      </c>
      <c r="R80" s="5">
        <v>2</v>
      </c>
      <c r="S80" s="11">
        <v>2</v>
      </c>
      <c r="T80" s="6">
        <v>0</v>
      </c>
      <c r="U80" s="11">
        <v>0</v>
      </c>
      <c r="V80" s="11">
        <v>0</v>
      </c>
      <c r="W80" s="11">
        <v>0</v>
      </c>
    </row>
    <row r="81" spans="1:23" ht="16.5" x14ac:dyDescent="0.25">
      <c r="A81" s="41"/>
      <c r="B81" s="41"/>
      <c r="C81" s="36" t="s">
        <v>105</v>
      </c>
      <c r="D81" s="36"/>
      <c r="E81" s="37" t="s">
        <v>41</v>
      </c>
      <c r="F81" s="37"/>
      <c r="G81" s="5">
        <v>2</v>
      </c>
      <c r="H81" s="5">
        <v>2</v>
      </c>
      <c r="I81" s="11">
        <v>2</v>
      </c>
      <c r="J81" s="5">
        <v>2</v>
      </c>
      <c r="K81" s="11">
        <v>2</v>
      </c>
      <c r="L81" s="5">
        <v>2</v>
      </c>
      <c r="M81" s="11">
        <v>2</v>
      </c>
      <c r="N81" s="5">
        <v>2</v>
      </c>
      <c r="O81" s="11">
        <v>2</v>
      </c>
      <c r="P81" s="5">
        <v>2</v>
      </c>
      <c r="Q81" s="11">
        <v>2</v>
      </c>
      <c r="R81" s="5">
        <v>2</v>
      </c>
      <c r="S81" s="11">
        <v>2</v>
      </c>
      <c r="T81" s="6">
        <v>0</v>
      </c>
      <c r="U81" s="11">
        <v>0</v>
      </c>
      <c r="V81" s="11">
        <v>0</v>
      </c>
      <c r="W81" s="11">
        <v>0</v>
      </c>
    </row>
    <row r="82" spans="1:23" ht="16.5" x14ac:dyDescent="0.25">
      <c r="A82" s="41"/>
      <c r="B82" s="41"/>
      <c r="C82" s="36" t="s">
        <v>106</v>
      </c>
      <c r="D82" s="36"/>
      <c r="E82" s="37" t="s">
        <v>42</v>
      </c>
      <c r="F82" s="37"/>
      <c r="G82" s="5">
        <v>2</v>
      </c>
      <c r="H82" s="5">
        <v>2</v>
      </c>
      <c r="I82" s="11">
        <v>2</v>
      </c>
      <c r="J82" s="5">
        <v>2</v>
      </c>
      <c r="K82" s="11">
        <v>2</v>
      </c>
      <c r="L82" s="5">
        <v>2</v>
      </c>
      <c r="M82" s="11">
        <v>2</v>
      </c>
      <c r="N82" s="5">
        <v>2</v>
      </c>
      <c r="O82" s="11">
        <v>2</v>
      </c>
      <c r="P82" s="5">
        <v>2</v>
      </c>
      <c r="Q82" s="11">
        <v>2</v>
      </c>
      <c r="R82" s="5">
        <v>2</v>
      </c>
      <c r="S82" s="11">
        <v>2</v>
      </c>
      <c r="T82" s="6">
        <v>0</v>
      </c>
      <c r="U82" s="11">
        <v>0</v>
      </c>
      <c r="V82" s="11">
        <v>0</v>
      </c>
      <c r="W82" s="11">
        <v>0</v>
      </c>
    </row>
    <row r="83" spans="1:23" ht="16.5" x14ac:dyDescent="0.25">
      <c r="A83" s="41"/>
      <c r="B83" s="41"/>
      <c r="C83" s="36" t="s">
        <v>107</v>
      </c>
      <c r="D83" s="36"/>
      <c r="E83" s="37" t="s">
        <v>43</v>
      </c>
      <c r="F83" s="37"/>
      <c r="G83" s="5">
        <v>2</v>
      </c>
      <c r="H83" s="5">
        <v>2</v>
      </c>
      <c r="I83" s="11">
        <v>2</v>
      </c>
      <c r="J83" s="5">
        <v>2</v>
      </c>
      <c r="K83" s="11">
        <v>2</v>
      </c>
      <c r="L83" s="5">
        <v>2</v>
      </c>
      <c r="M83" s="11">
        <v>2</v>
      </c>
      <c r="N83" s="5">
        <v>2</v>
      </c>
      <c r="O83" s="11">
        <v>2</v>
      </c>
      <c r="P83" s="5">
        <v>2</v>
      </c>
      <c r="Q83" s="11">
        <v>2</v>
      </c>
      <c r="R83" s="5">
        <v>2</v>
      </c>
      <c r="S83" s="11">
        <v>2</v>
      </c>
      <c r="T83" s="6">
        <v>0</v>
      </c>
      <c r="U83" s="11">
        <v>0</v>
      </c>
      <c r="V83" s="11">
        <v>0</v>
      </c>
      <c r="W83" s="11">
        <v>0</v>
      </c>
    </row>
    <row r="84" spans="1:23" ht="16.5" x14ac:dyDescent="0.25">
      <c r="A84" s="41"/>
      <c r="B84" s="41"/>
      <c r="C84" s="42" t="s">
        <v>108</v>
      </c>
      <c r="D84" s="43"/>
      <c r="E84" s="32" t="s">
        <v>44</v>
      </c>
      <c r="F84" s="33"/>
      <c r="G84" s="5">
        <v>2</v>
      </c>
      <c r="H84" s="5">
        <v>2</v>
      </c>
      <c r="I84" s="11">
        <v>2</v>
      </c>
      <c r="J84" s="5">
        <v>2</v>
      </c>
      <c r="K84" s="11">
        <v>2</v>
      </c>
      <c r="L84" s="5">
        <v>2</v>
      </c>
      <c r="M84" s="11">
        <v>2</v>
      </c>
      <c r="N84" s="5">
        <v>2</v>
      </c>
      <c r="O84" s="11">
        <v>2</v>
      </c>
      <c r="P84" s="5">
        <v>2</v>
      </c>
      <c r="Q84" s="11">
        <v>2</v>
      </c>
      <c r="R84" s="5">
        <v>2</v>
      </c>
      <c r="S84" s="11">
        <v>2</v>
      </c>
      <c r="T84" s="6">
        <v>0</v>
      </c>
      <c r="U84" s="11">
        <v>0</v>
      </c>
      <c r="V84" s="11">
        <v>0</v>
      </c>
      <c r="W84" s="11">
        <v>0</v>
      </c>
    </row>
    <row r="85" spans="1:23" ht="16.5" x14ac:dyDescent="0.25">
      <c r="A85" s="41"/>
      <c r="B85" s="41"/>
      <c r="C85" s="42" t="s">
        <v>109</v>
      </c>
      <c r="D85" s="43"/>
      <c r="E85" s="32" t="s">
        <v>40</v>
      </c>
      <c r="F85" s="33"/>
      <c r="G85" s="5">
        <v>2</v>
      </c>
      <c r="H85" s="5">
        <v>2</v>
      </c>
      <c r="I85" s="11">
        <v>2</v>
      </c>
      <c r="J85" s="5">
        <v>2</v>
      </c>
      <c r="K85" s="11">
        <v>2</v>
      </c>
      <c r="L85" s="5">
        <v>2</v>
      </c>
      <c r="M85" s="11">
        <v>2</v>
      </c>
      <c r="N85" s="5">
        <v>2</v>
      </c>
      <c r="O85" s="11">
        <v>2</v>
      </c>
      <c r="P85" s="5">
        <v>2</v>
      </c>
      <c r="Q85" s="11">
        <v>2</v>
      </c>
      <c r="R85" s="5">
        <v>2</v>
      </c>
      <c r="S85" s="11">
        <v>2</v>
      </c>
      <c r="T85" s="6">
        <v>0</v>
      </c>
      <c r="U85" s="11">
        <v>0</v>
      </c>
      <c r="V85" s="11">
        <v>0</v>
      </c>
      <c r="W85" s="11">
        <v>0</v>
      </c>
    </row>
    <row r="86" spans="1:23" ht="16.5" x14ac:dyDescent="0.25">
      <c r="A86" s="41"/>
      <c r="B86" s="41" t="s">
        <v>27</v>
      </c>
      <c r="C86" s="36" t="s">
        <v>102</v>
      </c>
      <c r="D86" s="36"/>
      <c r="E86" s="37" t="s">
        <v>42</v>
      </c>
      <c r="F86" s="37"/>
      <c r="G86" s="5">
        <v>2</v>
      </c>
      <c r="H86" s="5">
        <v>2</v>
      </c>
      <c r="I86" s="11">
        <v>2</v>
      </c>
      <c r="J86" s="5">
        <v>2</v>
      </c>
      <c r="K86" s="11">
        <v>2</v>
      </c>
      <c r="L86" s="5">
        <v>2</v>
      </c>
      <c r="M86" s="11">
        <v>2</v>
      </c>
      <c r="N86" s="5">
        <v>2</v>
      </c>
      <c r="O86" s="11">
        <v>2</v>
      </c>
      <c r="P86" s="5">
        <v>2</v>
      </c>
      <c r="Q86" s="11">
        <v>2</v>
      </c>
      <c r="R86" s="5">
        <v>2</v>
      </c>
      <c r="S86" s="11">
        <v>2</v>
      </c>
      <c r="T86" s="11">
        <v>2</v>
      </c>
      <c r="U86" s="6">
        <v>0</v>
      </c>
      <c r="V86" s="11">
        <v>0</v>
      </c>
      <c r="W86" s="11">
        <v>0</v>
      </c>
    </row>
    <row r="87" spans="1:23" ht="16.5" x14ac:dyDescent="0.25">
      <c r="A87" s="41"/>
      <c r="B87" s="41"/>
      <c r="C87" s="36" t="s">
        <v>136</v>
      </c>
      <c r="D87" s="36"/>
      <c r="E87" s="37" t="s">
        <v>43</v>
      </c>
      <c r="F87" s="37"/>
      <c r="G87" s="5">
        <v>2</v>
      </c>
      <c r="H87" s="5">
        <v>2</v>
      </c>
      <c r="I87" s="11">
        <v>2</v>
      </c>
      <c r="J87" s="5">
        <v>2</v>
      </c>
      <c r="K87" s="11">
        <v>2</v>
      </c>
      <c r="L87" s="5">
        <v>2</v>
      </c>
      <c r="M87" s="11">
        <v>2</v>
      </c>
      <c r="N87" s="5">
        <v>2</v>
      </c>
      <c r="O87" s="11">
        <v>2</v>
      </c>
      <c r="P87" s="5">
        <v>2</v>
      </c>
      <c r="Q87" s="11">
        <v>2</v>
      </c>
      <c r="R87" s="5">
        <v>2</v>
      </c>
      <c r="S87" s="11">
        <v>2</v>
      </c>
      <c r="T87" s="11">
        <v>2</v>
      </c>
      <c r="U87" s="6">
        <v>0</v>
      </c>
      <c r="V87" s="11">
        <v>0</v>
      </c>
      <c r="W87" s="11">
        <v>0</v>
      </c>
    </row>
    <row r="88" spans="1:23" ht="16.5" x14ac:dyDescent="0.25">
      <c r="A88" s="41"/>
      <c r="B88" s="41"/>
      <c r="C88" s="36" t="s">
        <v>103</v>
      </c>
      <c r="D88" s="36"/>
      <c r="E88" s="37" t="s">
        <v>44</v>
      </c>
      <c r="F88" s="37"/>
      <c r="G88" s="5">
        <v>2</v>
      </c>
      <c r="H88" s="5">
        <v>2</v>
      </c>
      <c r="I88" s="11">
        <v>2</v>
      </c>
      <c r="J88" s="5">
        <v>2</v>
      </c>
      <c r="K88" s="11">
        <v>2</v>
      </c>
      <c r="L88" s="5">
        <v>2</v>
      </c>
      <c r="M88" s="11">
        <v>2</v>
      </c>
      <c r="N88" s="5">
        <v>2</v>
      </c>
      <c r="O88" s="11">
        <v>2</v>
      </c>
      <c r="P88" s="5">
        <v>2</v>
      </c>
      <c r="Q88" s="11">
        <v>2</v>
      </c>
      <c r="R88" s="5">
        <v>2</v>
      </c>
      <c r="S88" s="11">
        <v>2</v>
      </c>
      <c r="T88" s="11">
        <v>2</v>
      </c>
      <c r="U88" s="6">
        <v>0</v>
      </c>
      <c r="V88" s="11">
        <v>0</v>
      </c>
      <c r="W88" s="11">
        <v>0</v>
      </c>
    </row>
    <row r="89" spans="1:23" ht="16.5" x14ac:dyDescent="0.25">
      <c r="A89" s="41"/>
      <c r="B89" s="41"/>
      <c r="C89" s="42" t="s">
        <v>104</v>
      </c>
      <c r="D89" s="43"/>
      <c r="E89" s="32" t="s">
        <v>40</v>
      </c>
      <c r="F89" s="33"/>
      <c r="G89" s="5">
        <v>2</v>
      </c>
      <c r="H89" s="5">
        <v>2</v>
      </c>
      <c r="I89" s="11">
        <v>2</v>
      </c>
      <c r="J89" s="5">
        <v>2</v>
      </c>
      <c r="K89" s="11">
        <v>2</v>
      </c>
      <c r="L89" s="5">
        <v>2</v>
      </c>
      <c r="M89" s="11">
        <v>2</v>
      </c>
      <c r="N89" s="5">
        <v>2</v>
      </c>
      <c r="O89" s="11">
        <v>2</v>
      </c>
      <c r="P89" s="5">
        <v>2</v>
      </c>
      <c r="Q89" s="11">
        <v>2</v>
      </c>
      <c r="R89" s="5">
        <v>2</v>
      </c>
      <c r="S89" s="11">
        <v>2</v>
      </c>
      <c r="T89" s="11">
        <v>2</v>
      </c>
      <c r="U89" s="6">
        <v>0</v>
      </c>
      <c r="V89" s="11">
        <v>0</v>
      </c>
      <c r="W89" s="11">
        <v>0</v>
      </c>
    </row>
    <row r="90" spans="1:23" ht="16.5" x14ac:dyDescent="0.25">
      <c r="A90" s="41"/>
      <c r="B90" s="41"/>
      <c r="C90" s="36" t="s">
        <v>105</v>
      </c>
      <c r="D90" s="36"/>
      <c r="E90" s="37" t="s">
        <v>41</v>
      </c>
      <c r="F90" s="37"/>
      <c r="G90" s="5">
        <v>2</v>
      </c>
      <c r="H90" s="5">
        <v>2</v>
      </c>
      <c r="I90" s="11">
        <v>2</v>
      </c>
      <c r="J90" s="5">
        <v>2</v>
      </c>
      <c r="K90" s="11">
        <v>2</v>
      </c>
      <c r="L90" s="5">
        <v>2</v>
      </c>
      <c r="M90" s="11">
        <v>2</v>
      </c>
      <c r="N90" s="5">
        <v>2</v>
      </c>
      <c r="O90" s="11">
        <v>2</v>
      </c>
      <c r="P90" s="5">
        <v>2</v>
      </c>
      <c r="Q90" s="11">
        <v>2</v>
      </c>
      <c r="R90" s="5">
        <v>2</v>
      </c>
      <c r="S90" s="11">
        <v>2</v>
      </c>
      <c r="T90" s="11">
        <v>2</v>
      </c>
      <c r="U90" s="6">
        <v>0</v>
      </c>
      <c r="V90" s="11">
        <v>0</v>
      </c>
      <c r="W90" s="11">
        <v>0</v>
      </c>
    </row>
    <row r="91" spans="1:23" ht="16.5" x14ac:dyDescent="0.25">
      <c r="A91" s="41"/>
      <c r="B91" s="41"/>
      <c r="C91" s="36" t="s">
        <v>106</v>
      </c>
      <c r="D91" s="36"/>
      <c r="E91" s="37" t="s">
        <v>42</v>
      </c>
      <c r="F91" s="37"/>
      <c r="G91" s="5">
        <f>H91+U92</f>
        <v>1</v>
      </c>
      <c r="H91" s="5">
        <v>2</v>
      </c>
      <c r="I91" s="11">
        <v>2</v>
      </c>
      <c r="J91" s="5">
        <v>2</v>
      </c>
      <c r="K91" s="11">
        <v>2</v>
      </c>
      <c r="L91" s="5">
        <v>2</v>
      </c>
      <c r="M91" s="11">
        <v>2</v>
      </c>
      <c r="N91" s="5">
        <v>2</v>
      </c>
      <c r="O91" s="11">
        <v>2</v>
      </c>
      <c r="P91" s="5">
        <v>2</v>
      </c>
      <c r="Q91" s="11">
        <v>2</v>
      </c>
      <c r="R91" s="5">
        <v>2</v>
      </c>
      <c r="S91" s="11">
        <v>2</v>
      </c>
      <c r="T91" s="11">
        <v>2</v>
      </c>
      <c r="U91" s="6">
        <v>0</v>
      </c>
      <c r="V91" s="11">
        <v>0</v>
      </c>
      <c r="W91" s="11">
        <v>0</v>
      </c>
    </row>
    <row r="92" spans="1:23" ht="16.5" x14ac:dyDescent="0.25">
      <c r="A92" s="41"/>
      <c r="B92" s="41"/>
      <c r="C92" s="32"/>
      <c r="D92" s="33"/>
      <c r="E92" s="32"/>
      <c r="F92" s="33"/>
      <c r="G92" s="5"/>
      <c r="H92" s="5"/>
      <c r="I92" s="11"/>
      <c r="J92" s="5"/>
      <c r="K92" s="11"/>
      <c r="L92" s="5"/>
      <c r="M92" s="11"/>
      <c r="N92" s="5"/>
      <c r="O92" s="11"/>
      <c r="P92" s="5"/>
      <c r="Q92" s="11"/>
      <c r="R92" s="5"/>
      <c r="S92" s="11"/>
      <c r="T92" s="11"/>
      <c r="U92" s="14">
        <v>-1</v>
      </c>
      <c r="V92" s="11"/>
      <c r="W92" s="11"/>
    </row>
    <row r="93" spans="1:23" ht="16.5" x14ac:dyDescent="0.25">
      <c r="A93" s="41"/>
      <c r="B93" s="41"/>
      <c r="C93" s="36" t="s">
        <v>107</v>
      </c>
      <c r="D93" s="36"/>
      <c r="E93" s="37" t="s">
        <v>43</v>
      </c>
      <c r="F93" s="37"/>
      <c r="G93" s="5">
        <v>2</v>
      </c>
      <c r="H93" s="5">
        <v>2</v>
      </c>
      <c r="I93" s="11">
        <v>2</v>
      </c>
      <c r="J93" s="5">
        <v>2</v>
      </c>
      <c r="K93" s="11">
        <v>2</v>
      </c>
      <c r="L93" s="5">
        <v>2</v>
      </c>
      <c r="M93" s="11">
        <v>2</v>
      </c>
      <c r="N93" s="5">
        <v>2</v>
      </c>
      <c r="O93" s="11">
        <v>2</v>
      </c>
      <c r="P93" s="5">
        <v>2</v>
      </c>
      <c r="Q93" s="11">
        <v>2</v>
      </c>
      <c r="R93" s="5">
        <v>2</v>
      </c>
      <c r="S93" s="11">
        <v>2</v>
      </c>
      <c r="T93" s="11">
        <v>2</v>
      </c>
      <c r="U93" s="6">
        <v>0</v>
      </c>
      <c r="V93" s="11">
        <v>0</v>
      </c>
      <c r="W93" s="11">
        <v>0</v>
      </c>
    </row>
    <row r="94" spans="1:23" ht="16.5" x14ac:dyDescent="0.25">
      <c r="A94" s="41"/>
      <c r="B94" s="41"/>
      <c r="C94" s="42" t="s">
        <v>108</v>
      </c>
      <c r="D94" s="43"/>
      <c r="E94" s="32" t="s">
        <v>44</v>
      </c>
      <c r="F94" s="33"/>
      <c r="G94" s="5">
        <f>H94+U95</f>
        <v>1</v>
      </c>
      <c r="H94" s="5">
        <v>2</v>
      </c>
      <c r="I94" s="11">
        <v>2</v>
      </c>
      <c r="J94" s="5">
        <v>2</v>
      </c>
      <c r="K94" s="11">
        <v>2</v>
      </c>
      <c r="L94" s="5">
        <v>2</v>
      </c>
      <c r="M94" s="11">
        <v>2</v>
      </c>
      <c r="N94" s="5">
        <v>2</v>
      </c>
      <c r="O94" s="11">
        <v>2</v>
      </c>
      <c r="P94" s="5">
        <v>2</v>
      </c>
      <c r="Q94" s="11">
        <v>2</v>
      </c>
      <c r="R94" s="5">
        <v>2</v>
      </c>
      <c r="S94" s="11">
        <v>2</v>
      </c>
      <c r="T94" s="11">
        <v>2</v>
      </c>
      <c r="U94" s="6">
        <v>0</v>
      </c>
      <c r="V94" s="11">
        <v>0</v>
      </c>
      <c r="W94" s="11">
        <v>0</v>
      </c>
    </row>
    <row r="95" spans="1:23" ht="16.5" x14ac:dyDescent="0.25">
      <c r="A95" s="41"/>
      <c r="B95" s="41"/>
      <c r="C95" s="32"/>
      <c r="D95" s="33"/>
      <c r="E95" s="32"/>
      <c r="F95" s="33"/>
      <c r="G95" s="5"/>
      <c r="H95" s="5"/>
      <c r="I95" s="11"/>
      <c r="J95" s="5"/>
      <c r="K95" s="11"/>
      <c r="L95" s="5"/>
      <c r="M95" s="11"/>
      <c r="N95" s="5"/>
      <c r="O95" s="11"/>
      <c r="P95" s="5"/>
      <c r="Q95" s="11"/>
      <c r="R95" s="5"/>
      <c r="S95" s="11"/>
      <c r="T95" s="11"/>
      <c r="U95" s="14">
        <v>-1</v>
      </c>
      <c r="V95" s="11"/>
      <c r="W95" s="11"/>
    </row>
    <row r="96" spans="1:23" ht="16.5" x14ac:dyDescent="0.25">
      <c r="A96" s="41"/>
      <c r="B96" s="41"/>
      <c r="C96" s="42" t="s">
        <v>109</v>
      </c>
      <c r="D96" s="43"/>
      <c r="E96" s="32" t="s">
        <v>40</v>
      </c>
      <c r="F96" s="33"/>
      <c r="G96" s="5">
        <v>2</v>
      </c>
      <c r="H96" s="5">
        <v>2</v>
      </c>
      <c r="I96" s="11">
        <v>2</v>
      </c>
      <c r="J96" s="5">
        <v>2</v>
      </c>
      <c r="K96" s="11">
        <v>2</v>
      </c>
      <c r="L96" s="5">
        <v>2</v>
      </c>
      <c r="M96" s="11">
        <v>2</v>
      </c>
      <c r="N96" s="5">
        <v>2</v>
      </c>
      <c r="O96" s="11">
        <v>2</v>
      </c>
      <c r="P96" s="5">
        <v>2</v>
      </c>
      <c r="Q96" s="11">
        <v>2</v>
      </c>
      <c r="R96" s="5">
        <v>2</v>
      </c>
      <c r="S96" s="11">
        <v>2</v>
      </c>
      <c r="T96" s="11">
        <v>2</v>
      </c>
      <c r="U96" s="6">
        <v>0</v>
      </c>
      <c r="V96" s="11">
        <v>0</v>
      </c>
      <c r="W96" s="11">
        <v>0</v>
      </c>
    </row>
    <row r="97" spans="1:23" ht="16.5" x14ac:dyDescent="0.25">
      <c r="A97" s="41"/>
      <c r="B97" s="41" t="s">
        <v>128</v>
      </c>
      <c r="C97" s="36" t="s">
        <v>100</v>
      </c>
      <c r="D97" s="36"/>
      <c r="E97" s="44" t="s">
        <v>19</v>
      </c>
      <c r="F97" s="44"/>
      <c r="G97" s="5">
        <v>5</v>
      </c>
      <c r="H97" s="5">
        <v>10</v>
      </c>
      <c r="I97" s="5">
        <v>10</v>
      </c>
      <c r="J97" s="5">
        <v>10</v>
      </c>
      <c r="K97" s="5">
        <v>10</v>
      </c>
      <c r="L97" s="5">
        <v>10</v>
      </c>
      <c r="M97" s="5">
        <v>10</v>
      </c>
      <c r="N97" s="5">
        <v>10</v>
      </c>
      <c r="O97" s="5">
        <v>10</v>
      </c>
      <c r="P97" s="5">
        <v>10</v>
      </c>
      <c r="Q97" s="5">
        <v>10</v>
      </c>
      <c r="R97" s="5">
        <v>10</v>
      </c>
      <c r="S97" s="5">
        <v>10</v>
      </c>
      <c r="T97" s="5">
        <v>10</v>
      </c>
      <c r="U97" s="5">
        <v>10</v>
      </c>
      <c r="V97" s="6">
        <v>0</v>
      </c>
      <c r="W97" s="5">
        <v>0</v>
      </c>
    </row>
    <row r="98" spans="1:23" ht="16.5" x14ac:dyDescent="0.25">
      <c r="A98" s="41"/>
      <c r="B98" s="41"/>
      <c r="C98" s="36" t="s">
        <v>101</v>
      </c>
      <c r="D98" s="36"/>
      <c r="E98" s="44" t="s">
        <v>19</v>
      </c>
      <c r="F98" s="44"/>
      <c r="G98" s="5">
        <v>5</v>
      </c>
      <c r="H98" s="5">
        <v>10</v>
      </c>
      <c r="I98" s="5">
        <v>10</v>
      </c>
      <c r="J98" s="5">
        <v>10</v>
      </c>
      <c r="K98" s="5">
        <v>10</v>
      </c>
      <c r="L98" s="5">
        <v>10</v>
      </c>
      <c r="M98" s="5">
        <v>10</v>
      </c>
      <c r="N98" s="5">
        <v>10</v>
      </c>
      <c r="O98" s="5">
        <v>10</v>
      </c>
      <c r="P98" s="5">
        <v>10</v>
      </c>
      <c r="Q98" s="5">
        <v>10</v>
      </c>
      <c r="R98" s="5">
        <v>10</v>
      </c>
      <c r="S98" s="5">
        <v>10</v>
      </c>
      <c r="T98" s="5">
        <v>10</v>
      </c>
      <c r="U98" s="5">
        <v>10</v>
      </c>
      <c r="V98" s="5">
        <v>10</v>
      </c>
      <c r="W98" s="6">
        <v>0</v>
      </c>
    </row>
    <row r="99" spans="1:23" ht="16.5" x14ac:dyDescent="0.25">
      <c r="A99" s="41"/>
      <c r="B99" s="45" t="s">
        <v>13</v>
      </c>
      <c r="C99" s="45"/>
      <c r="D99" s="45"/>
      <c r="E99" s="46" t="s">
        <v>11</v>
      </c>
      <c r="F99" s="46"/>
      <c r="G99" s="46">
        <f>SUM(G16:G98)</f>
        <v>223</v>
      </c>
      <c r="H99" s="46"/>
      <c r="I99" s="5">
        <f t="shared" ref="I99:P99" si="0">SUM(I16:I98)</f>
        <v>228</v>
      </c>
      <c r="J99" s="5">
        <f t="shared" si="0"/>
        <v>220</v>
      </c>
      <c r="K99" s="5">
        <f t="shared" si="0"/>
        <v>188</v>
      </c>
      <c r="L99" s="5">
        <f t="shared" si="0"/>
        <v>158</v>
      </c>
      <c r="M99" s="5">
        <f t="shared" si="0"/>
        <v>164</v>
      </c>
      <c r="N99" s="5">
        <f t="shared" si="0"/>
        <v>130</v>
      </c>
      <c r="O99" s="5">
        <f t="shared" si="0"/>
        <v>128</v>
      </c>
      <c r="P99" s="5">
        <f t="shared" si="0"/>
        <v>128</v>
      </c>
      <c r="Q99" s="5">
        <f>SUM(Q16:Q98)+Q42</f>
        <v>128</v>
      </c>
      <c r="R99" s="5">
        <f>SUM(R16:R98)</f>
        <v>80</v>
      </c>
      <c r="S99" s="5">
        <f>SUM(S16:S98)</f>
        <v>55</v>
      </c>
      <c r="T99" s="5">
        <f>SUM(T16:T98)-T52</f>
        <v>38</v>
      </c>
      <c r="U99" s="5">
        <f>SUM(U16:U98)</f>
        <v>18</v>
      </c>
      <c r="V99" s="5">
        <f>SUM(V16:V98)</f>
        <v>10</v>
      </c>
      <c r="W99" s="5">
        <f>SUM(W16:W98)</f>
        <v>0</v>
      </c>
    </row>
    <row r="100" spans="1:23" ht="16.5" x14ac:dyDescent="0.25">
      <c r="A100" s="41"/>
      <c r="B100" s="45"/>
      <c r="C100" s="45"/>
      <c r="D100" s="45"/>
      <c r="E100" s="46" t="s">
        <v>12</v>
      </c>
      <c r="F100" s="46"/>
      <c r="G100" s="46">
        <f>SUM(H16:H98)</f>
        <v>238</v>
      </c>
      <c r="H100" s="46"/>
      <c r="I100" s="5">
        <f>G100-H16</f>
        <v>228</v>
      </c>
      <c r="J100" s="5">
        <f>I100-SUM(G17:G18)</f>
        <v>220</v>
      </c>
      <c r="K100" s="5">
        <f>J100-SUM(H19:H29)</f>
        <v>192</v>
      </c>
      <c r="L100" s="5">
        <f>K100-SUM(H31:H41)</f>
        <v>164</v>
      </c>
      <c r="M100" s="5">
        <f>L100</f>
        <v>164</v>
      </c>
      <c r="N100" s="5">
        <f>M100-SUM(H43:H53)</f>
        <v>128</v>
      </c>
      <c r="O100" s="5">
        <f>N100</f>
        <v>128</v>
      </c>
      <c r="P100" s="5">
        <f>O100</f>
        <v>128</v>
      </c>
      <c r="Q100" s="5">
        <f>P100</f>
        <v>128</v>
      </c>
      <c r="R100" s="5">
        <f>Q100-SUM(H54:H66)</f>
        <v>74</v>
      </c>
      <c r="S100" s="5">
        <f>R100-SUM(H67:H76)</f>
        <v>56</v>
      </c>
      <c r="T100" s="5">
        <f>S100-SUM(H77:H85)</f>
        <v>38</v>
      </c>
      <c r="U100" s="5">
        <f>T100-SUM(H86:H96)</f>
        <v>20</v>
      </c>
      <c r="V100" s="5">
        <f>U100-H97</f>
        <v>10</v>
      </c>
      <c r="W100" s="5">
        <f>V100-H98</f>
        <v>0</v>
      </c>
    </row>
  </sheetData>
  <mergeCells count="187">
    <mergeCell ref="C23:D23"/>
    <mergeCell ref="C32:D32"/>
    <mergeCell ref="E32:F32"/>
    <mergeCell ref="C68:D68"/>
    <mergeCell ref="E68:F68"/>
    <mergeCell ref="E59:F59"/>
    <mergeCell ref="C59:D59"/>
    <mergeCell ref="E61:F61"/>
    <mergeCell ref="C61:D61"/>
    <mergeCell ref="E48:F48"/>
    <mergeCell ref="C48:D48"/>
    <mergeCell ref="G99:H99"/>
    <mergeCell ref="E100:F100"/>
    <mergeCell ref="G100:H100"/>
    <mergeCell ref="C91:D91"/>
    <mergeCell ref="E91:F91"/>
    <mergeCell ref="E95:F95"/>
    <mergeCell ref="C95:D95"/>
    <mergeCell ref="E92:F92"/>
    <mergeCell ref="C92:D92"/>
    <mergeCell ref="E71:F71"/>
    <mergeCell ref="C72:D72"/>
    <mergeCell ref="E72:F72"/>
    <mergeCell ref="C73:D73"/>
    <mergeCell ref="E73:F73"/>
    <mergeCell ref="C74:D74"/>
    <mergeCell ref="E74:F74"/>
    <mergeCell ref="C66:D66"/>
    <mergeCell ref="E66:F66"/>
    <mergeCell ref="B97:B98"/>
    <mergeCell ref="C97:D97"/>
    <mergeCell ref="E97:F97"/>
    <mergeCell ref="C98:D98"/>
    <mergeCell ref="E98:F98"/>
    <mergeCell ref="B99:D100"/>
    <mergeCell ref="E99:F99"/>
    <mergeCell ref="B86:B96"/>
    <mergeCell ref="C86:D86"/>
    <mergeCell ref="E86:F86"/>
    <mergeCell ref="C87:D87"/>
    <mergeCell ref="E87:F87"/>
    <mergeCell ref="C88:D88"/>
    <mergeCell ref="E88:F88"/>
    <mergeCell ref="C89:D89"/>
    <mergeCell ref="C93:D93"/>
    <mergeCell ref="E93:F93"/>
    <mergeCell ref="C94:D94"/>
    <mergeCell ref="E94:F94"/>
    <mergeCell ref="C96:D96"/>
    <mergeCell ref="E96:F96"/>
    <mergeCell ref="E89:F89"/>
    <mergeCell ref="C90:D90"/>
    <mergeCell ref="E90:F90"/>
    <mergeCell ref="B77:B85"/>
    <mergeCell ref="C77:D77"/>
    <mergeCell ref="E77:F77"/>
    <mergeCell ref="C78:D78"/>
    <mergeCell ref="E78:F78"/>
    <mergeCell ref="C79:D79"/>
    <mergeCell ref="C82:D82"/>
    <mergeCell ref="E82:F82"/>
    <mergeCell ref="C83:D83"/>
    <mergeCell ref="E83:F83"/>
    <mergeCell ref="C84:D84"/>
    <mergeCell ref="E84:F84"/>
    <mergeCell ref="E79:F79"/>
    <mergeCell ref="C80:D80"/>
    <mergeCell ref="E80:F80"/>
    <mergeCell ref="C81:D81"/>
    <mergeCell ref="E81:F81"/>
    <mergeCell ref="C85:D85"/>
    <mergeCell ref="E85:F85"/>
    <mergeCell ref="B67:B76"/>
    <mergeCell ref="C67:D67"/>
    <mergeCell ref="E67:F67"/>
    <mergeCell ref="C69:D69"/>
    <mergeCell ref="E69:F69"/>
    <mergeCell ref="C70:D70"/>
    <mergeCell ref="E70:F70"/>
    <mergeCell ref="C71:D71"/>
    <mergeCell ref="C75:D75"/>
    <mergeCell ref="E75:F75"/>
    <mergeCell ref="C76:D76"/>
    <mergeCell ref="E76:F76"/>
    <mergeCell ref="C64:D64"/>
    <mergeCell ref="E64:F64"/>
    <mergeCell ref="C65:D65"/>
    <mergeCell ref="E65:F65"/>
    <mergeCell ref="C60:D60"/>
    <mergeCell ref="E60:F60"/>
    <mergeCell ref="C62:D62"/>
    <mergeCell ref="E62:F62"/>
    <mergeCell ref="C63:D63"/>
    <mergeCell ref="E63:F63"/>
    <mergeCell ref="E57:F57"/>
    <mergeCell ref="C58:D58"/>
    <mergeCell ref="E58:F58"/>
    <mergeCell ref="C52:D52"/>
    <mergeCell ref="E52:F52"/>
    <mergeCell ref="C53:D53"/>
    <mergeCell ref="E53:F53"/>
    <mergeCell ref="C54:D54"/>
    <mergeCell ref="E54:F54"/>
    <mergeCell ref="C56:D56"/>
    <mergeCell ref="E56:F56"/>
    <mergeCell ref="B43:B66"/>
    <mergeCell ref="C43:D43"/>
    <mergeCell ref="E43:F43"/>
    <mergeCell ref="C44:D44"/>
    <mergeCell ref="E44:F44"/>
    <mergeCell ref="C46:D46"/>
    <mergeCell ref="E46:F46"/>
    <mergeCell ref="C47:D47"/>
    <mergeCell ref="C40:D40"/>
    <mergeCell ref="E40:F40"/>
    <mergeCell ref="C41:D41"/>
    <mergeCell ref="E41:F41"/>
    <mergeCell ref="E47:F47"/>
    <mergeCell ref="C49:D49"/>
    <mergeCell ref="E49:F49"/>
    <mergeCell ref="C50:D50"/>
    <mergeCell ref="E50:F50"/>
    <mergeCell ref="C51:D51"/>
    <mergeCell ref="E51:F51"/>
    <mergeCell ref="C42:D42"/>
    <mergeCell ref="E42:F42"/>
    <mergeCell ref="C55:D55"/>
    <mergeCell ref="E55:F55"/>
    <mergeCell ref="C57:D57"/>
    <mergeCell ref="C22:D22"/>
    <mergeCell ref="E22:F22"/>
    <mergeCell ref="C24:D24"/>
    <mergeCell ref="E24:F24"/>
    <mergeCell ref="C25:D25"/>
    <mergeCell ref="E25:F25"/>
    <mergeCell ref="B31:B42"/>
    <mergeCell ref="C31:D31"/>
    <mergeCell ref="E31:F31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E23:F23"/>
    <mergeCell ref="C29:D29"/>
    <mergeCell ref="E29:F29"/>
    <mergeCell ref="C30:D30"/>
    <mergeCell ref="E30:F30"/>
    <mergeCell ref="C26:D26"/>
    <mergeCell ref="E26:F26"/>
    <mergeCell ref="C27:D27"/>
    <mergeCell ref="E27:F27"/>
    <mergeCell ref="C28:D28"/>
    <mergeCell ref="E28:F28"/>
    <mergeCell ref="E45:F45"/>
    <mergeCell ref="C45:D45"/>
    <mergeCell ref="A1:B1"/>
    <mergeCell ref="A2:B2"/>
    <mergeCell ref="A3:B3"/>
    <mergeCell ref="A4:B4"/>
    <mergeCell ref="B6:E6"/>
    <mergeCell ref="B13:C13"/>
    <mergeCell ref="C19:D19"/>
    <mergeCell ref="E19:F19"/>
    <mergeCell ref="C20:D20"/>
    <mergeCell ref="E20:F20"/>
    <mergeCell ref="B19:B30"/>
    <mergeCell ref="C21:D21"/>
    <mergeCell ref="E21:F21"/>
    <mergeCell ref="C15:D15"/>
    <mergeCell ref="E15:F15"/>
    <mergeCell ref="A16:A100"/>
    <mergeCell ref="B16:D16"/>
    <mergeCell ref="E16:F16"/>
    <mergeCell ref="B17:D17"/>
    <mergeCell ref="E17:F17"/>
    <mergeCell ref="B18:D18"/>
    <mergeCell ref="E18:F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P18" sqref="P18"/>
    </sheetView>
  </sheetViews>
  <sheetFormatPr defaultRowHeight="15" x14ac:dyDescent="0.25"/>
  <sheetData>
    <row r="1" spans="1:11" ht="16.5" x14ac:dyDescent="0.25">
      <c r="A1" s="51" t="s">
        <v>130</v>
      </c>
      <c r="B1" s="52"/>
      <c r="C1" s="52"/>
      <c r="D1" s="52"/>
      <c r="E1" s="52"/>
      <c r="F1" s="52"/>
      <c r="G1" s="52"/>
      <c r="H1" s="52"/>
      <c r="I1" s="52"/>
      <c r="J1" s="52"/>
      <c r="K1" s="53"/>
    </row>
    <row r="2" spans="1:11" ht="16.5" x14ac:dyDescent="0.25">
      <c r="A2" s="54"/>
      <c r="B2" s="55" t="s">
        <v>44</v>
      </c>
      <c r="C2" s="55"/>
      <c r="D2" s="55" t="s">
        <v>42</v>
      </c>
      <c r="E2" s="55"/>
      <c r="F2" s="55" t="s">
        <v>43</v>
      </c>
      <c r="G2" s="55"/>
      <c r="H2" s="55" t="s">
        <v>40</v>
      </c>
      <c r="I2" s="55"/>
      <c r="J2" s="55" t="s">
        <v>41</v>
      </c>
      <c r="K2" s="56"/>
    </row>
    <row r="3" spans="1:11" ht="16.5" x14ac:dyDescent="0.25">
      <c r="A3" s="54"/>
      <c r="B3" s="22" t="s">
        <v>11</v>
      </c>
      <c r="C3" s="22" t="s">
        <v>12</v>
      </c>
      <c r="D3" s="22" t="s">
        <v>11</v>
      </c>
      <c r="E3" s="22" t="s">
        <v>12</v>
      </c>
      <c r="F3" s="22" t="s">
        <v>11</v>
      </c>
      <c r="G3" s="22" t="s">
        <v>12</v>
      </c>
      <c r="H3" s="22" t="s">
        <v>11</v>
      </c>
      <c r="I3" s="22" t="s">
        <v>12</v>
      </c>
      <c r="J3" s="22" t="s">
        <v>11</v>
      </c>
      <c r="K3" s="23" t="s">
        <v>12</v>
      </c>
    </row>
    <row r="4" spans="1:11" ht="16.5" x14ac:dyDescent="0.25">
      <c r="A4" s="24" t="s">
        <v>3</v>
      </c>
      <c r="B4" s="25">
        <f>'Srpint 1'!D8</f>
        <v>42</v>
      </c>
      <c r="C4" s="25">
        <f>'Srpint 1'!E8</f>
        <v>46</v>
      </c>
      <c r="D4" s="25">
        <f>'Srpint 1'!D9</f>
        <v>43</v>
      </c>
      <c r="E4" s="25">
        <f>'Srpint 1'!E9</f>
        <v>46</v>
      </c>
      <c r="F4" s="25">
        <f>'Srpint 1'!D10</f>
        <v>40</v>
      </c>
      <c r="G4" s="25">
        <f>'Srpint 1'!E10</f>
        <v>44</v>
      </c>
      <c r="H4" s="25">
        <f>'Srpint 1'!D11</f>
        <v>45</v>
      </c>
      <c r="I4" s="25">
        <f>'Srpint 1'!E11</f>
        <v>46</v>
      </c>
      <c r="J4" s="25">
        <f>'Srpint 1'!D12</f>
        <v>43</v>
      </c>
      <c r="K4" s="25">
        <f>'Srpint 1'!E12</f>
        <v>46</v>
      </c>
    </row>
    <row r="5" spans="1:11" ht="16.5" x14ac:dyDescent="0.25">
      <c r="A5" s="24" t="s">
        <v>65</v>
      </c>
      <c r="B5" s="25">
        <f>'Sprint 2'!D8</f>
        <v>46</v>
      </c>
      <c r="C5" s="25">
        <f>'Sprint 2'!E8</f>
        <v>50</v>
      </c>
      <c r="D5" s="25">
        <f>'Sprint 2'!D9</f>
        <v>39</v>
      </c>
      <c r="E5" s="25">
        <f>'Sprint 2'!E9</f>
        <v>42</v>
      </c>
      <c r="F5" s="25">
        <f>'Sprint 2'!D10</f>
        <v>39</v>
      </c>
      <c r="G5" s="25">
        <f>'Sprint 2'!E10</f>
        <v>42</v>
      </c>
      <c r="H5" s="25">
        <f>'Sprint 2'!D11</f>
        <v>46</v>
      </c>
      <c r="I5" s="25">
        <f>'Sprint 2'!E11</f>
        <v>48</v>
      </c>
      <c r="J5" s="25">
        <f>'Sprint 2'!D12</f>
        <v>48</v>
      </c>
      <c r="K5" s="25">
        <f>'Sprint 2'!E12</f>
        <v>46</v>
      </c>
    </row>
    <row r="6" spans="1:11" ht="16.5" x14ac:dyDescent="0.25">
      <c r="A6" s="24" t="s">
        <v>98</v>
      </c>
      <c r="B6" s="25">
        <f>'Sprint 3'!D8</f>
        <v>55</v>
      </c>
      <c r="C6" s="25">
        <f>'Sprint 3'!E8</f>
        <v>60</v>
      </c>
      <c r="D6" s="25">
        <f>'Sprint 3'!D9</f>
        <v>33</v>
      </c>
      <c r="E6" s="25">
        <f>'Sprint 3'!E9</f>
        <v>40</v>
      </c>
      <c r="F6" s="25">
        <f>'Sprint 3'!D10</f>
        <v>39</v>
      </c>
      <c r="G6" s="25">
        <f>'Sprint 3'!E10</f>
        <v>42</v>
      </c>
      <c r="H6" s="25">
        <f>'Sprint 3'!D11</f>
        <v>62</v>
      </c>
      <c r="I6" s="25">
        <f>'Sprint 3'!E11</f>
        <v>60</v>
      </c>
      <c r="J6" s="25">
        <f>'Sprint 3'!D12</f>
        <v>34</v>
      </c>
      <c r="K6" s="25">
        <f>'Sprint 3'!E12</f>
        <v>36</v>
      </c>
    </row>
    <row r="7" spans="1:11" ht="17.25" thickBot="1" x14ac:dyDescent="0.3">
      <c r="A7" s="26" t="s">
        <v>13</v>
      </c>
      <c r="B7" s="27">
        <f>SUM(B4:B6)</f>
        <v>143</v>
      </c>
      <c r="C7" s="27">
        <f t="shared" ref="C7:K7" si="0">SUM(C4:C6)</f>
        <v>156</v>
      </c>
      <c r="D7" s="27">
        <f t="shared" si="0"/>
        <v>115</v>
      </c>
      <c r="E7" s="27">
        <f t="shared" si="0"/>
        <v>128</v>
      </c>
      <c r="F7" s="27">
        <f t="shared" si="0"/>
        <v>118</v>
      </c>
      <c r="G7" s="27">
        <f t="shared" si="0"/>
        <v>128</v>
      </c>
      <c r="H7" s="27">
        <f t="shared" si="0"/>
        <v>153</v>
      </c>
      <c r="I7" s="27">
        <f t="shared" si="0"/>
        <v>154</v>
      </c>
      <c r="J7" s="27">
        <f t="shared" si="0"/>
        <v>125</v>
      </c>
      <c r="K7" s="27">
        <f t="shared" si="0"/>
        <v>128</v>
      </c>
    </row>
    <row r="9" spans="1:11" ht="15.75" thickBot="1" x14ac:dyDescent="0.3"/>
    <row r="10" spans="1:11" ht="16.5" x14ac:dyDescent="0.25">
      <c r="E10" s="49" t="s">
        <v>131</v>
      </c>
      <c r="F10" s="50"/>
    </row>
    <row r="11" spans="1:11" ht="16.5" x14ac:dyDescent="0.25">
      <c r="E11" s="28" t="s">
        <v>11</v>
      </c>
      <c r="F11" s="29">
        <f>SUMIF(B3:K3,"Thực tế",B7:K7)</f>
        <v>654</v>
      </c>
    </row>
    <row r="12" spans="1:11" ht="17.25" thickBot="1" x14ac:dyDescent="0.3">
      <c r="E12" s="30" t="s">
        <v>12</v>
      </c>
      <c r="F12" s="31">
        <f>SUMIF(B3:K3,"Ước tính",B7:K7)</f>
        <v>694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Srpint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Đức Nguyễn</cp:lastModifiedBy>
  <dcterms:created xsi:type="dcterms:W3CDTF">2026-05-05T12:23:57Z</dcterms:created>
  <dcterms:modified xsi:type="dcterms:W3CDTF">2026-05-14T05:31:56Z</dcterms:modified>
</cp:coreProperties>
</file>